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liminary Calc" sheetId="1" r:id="rId5"/>
    <sheet state="visible" name="STEP 1" sheetId="2" r:id="rId6"/>
    <sheet state="visible" name="STEP 2" sheetId="3" r:id="rId7"/>
    <sheet state="visible" name="STEP 3" sheetId="4" r:id="rId8"/>
    <sheet state="visible" name="NO FINS STEP 3" sheetId="5" r:id="rId9"/>
    <sheet state="visible" name="STEP 4" sheetId="6" r:id="rId10"/>
    <sheet state="visible" name="Differnet Approach for STEP 4" sheetId="7" r:id="rId11"/>
    <sheet state="visible" name="STEP 3 Backup" sheetId="8" r:id="rId12"/>
    <sheet state="visible" name="Calculations R1" sheetId="9" r:id="rId13"/>
  </sheets>
  <definedNames>
    <definedName localSheetId="7" name="Ts">'STEP 3 Backup'!$H$12</definedName>
    <definedName localSheetId="4" name="Ts">'NO FINS STEP 3'!$H$11</definedName>
    <definedName name="Ts">'STEP 3'!$H$12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tc={b648432c-6ff8-4807-8aa8-4a70f46d9515}</author>
  </authors>
  <commentList>
    <comment authorId="0" xr:uid="{b648432c-6ff8-4807-8aa8-4a70f46d951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make this automatic based on hours later
</t>
      </text>
    </comment>
  </commentList>
</comments>
</file>

<file path=xl/sharedStrings.xml><?xml version="1.0" encoding="utf-8"?>
<sst xmlns="http://schemas.openxmlformats.org/spreadsheetml/2006/main" count="557" uniqueCount="258">
  <si>
    <t>Typical Load of Groceries</t>
  </si>
  <si>
    <t>Medium capacity (3.1 cu ft) can hold approximately 80, 12 oz cans</t>
  </si>
  <si>
    <t>Source</t>
  </si>
  <si>
    <t>Calculating the heat that must be removed from a full load</t>
  </si>
  <si>
    <t>Quantity of cans</t>
  </si>
  <si>
    <t>Volume per can (oz)</t>
  </si>
  <si>
    <t>Can to KJ total conversion</t>
  </si>
  <si>
    <t>Volume (oz)</t>
  </si>
  <si>
    <t>Conversion (m^3/oz)</t>
  </si>
  <si>
    <t>Volume (m^3)</t>
  </si>
  <si>
    <t>Density of water at 20C (kg/m^3)</t>
  </si>
  <si>
    <t>Mass of water (kg)</t>
  </si>
  <si>
    <t>Cp of water (kJ/kgC)</t>
  </si>
  <si>
    <t>Room temperature (C)</t>
  </si>
  <si>
    <t>Refrigeration temperature (C)</t>
  </si>
  <si>
    <t>Q removed (KJ) per entire load</t>
  </si>
  <si>
    <t>Q = mcp(T1-T2)</t>
  </si>
  <si>
    <t>Calculating the heat transfer through the walls of the refrigerator</t>
  </si>
  <si>
    <t>Height (in)</t>
  </si>
  <si>
    <t>Depth (in)</t>
  </si>
  <si>
    <t>Width (in)</t>
  </si>
  <si>
    <t>Conversion (m/in)</t>
  </si>
  <si>
    <t>Height (m)</t>
  </si>
  <si>
    <t>Depth (m)</t>
  </si>
  <si>
    <t>Freezer Qdot calcs</t>
  </si>
  <si>
    <t>Width (m)</t>
  </si>
  <si>
    <t>Freezer temperature</t>
  </si>
  <si>
    <t>Sides area (m^2)</t>
  </si>
  <si>
    <t>Freezer height (m)</t>
  </si>
  <si>
    <t>Top area (m^2)</t>
  </si>
  <si>
    <t>Side</t>
  </si>
  <si>
    <t>Front/back area (m^2)</t>
  </si>
  <si>
    <t>Front/Back</t>
  </si>
  <si>
    <t>Total Surface area (m^2)</t>
  </si>
  <si>
    <t>Total area</t>
  </si>
  <si>
    <t>Insulation thickness - L (m)</t>
  </si>
  <si>
    <t>Estimated k value (W/mC)</t>
  </si>
  <si>
    <t>Interior h value (W/m^2C)</t>
  </si>
  <si>
    <t>Exterior h value (W/m^2C)</t>
  </si>
  <si>
    <t>Rconv, interior air</t>
  </si>
  <si>
    <t>R conv = 1/hA</t>
  </si>
  <si>
    <t>Rcond, interior coating</t>
  </si>
  <si>
    <t>Rcond, insulation</t>
  </si>
  <si>
    <t>R cond = L/kA</t>
  </si>
  <si>
    <t>Rcond, exterior shell</t>
  </si>
  <si>
    <t>Rconv, exterior air</t>
  </si>
  <si>
    <t>Rtotal</t>
  </si>
  <si>
    <t>Q_dot (W)</t>
  </si>
  <si>
    <t>Q = (T1-T2)/Rtotal</t>
  </si>
  <si>
    <t>Q_dot (kW), freezer walls</t>
  </si>
  <si>
    <t>`</t>
  </si>
  <si>
    <t>Q_dot (kW)</t>
  </si>
  <si>
    <t>kW = W/1000</t>
  </si>
  <si>
    <t>Calculating the volume of ice require to deal with load + heat transfer</t>
  </si>
  <si>
    <t>Duration of passive period (hours)</t>
  </si>
  <si>
    <t>Cooling load (kJ)</t>
  </si>
  <si>
    <t>Q removed (kJ) + Q_dot (kW) *hours/3600</t>
  </si>
  <si>
    <t>Latent heat of fusion of ice(kJ/kg)</t>
  </si>
  <si>
    <t>Mass of ice required (kg)</t>
  </si>
  <si>
    <t>Q = mL</t>
  </si>
  <si>
    <t>m = Q/L</t>
  </si>
  <si>
    <t>Density of ice (kg/m^3)</t>
  </si>
  <si>
    <t>Cheat code Cooling load to volume of ice (m^3/kJ)</t>
  </si>
  <si>
    <t>Volume of ice required (m^3)</t>
  </si>
  <si>
    <t>Volume of ice required (in^3)</t>
  </si>
  <si>
    <t>Volume of 2.5 in thick 8.5x11 textbook (in^2)</t>
  </si>
  <si>
    <t>Cheat code Cooling load to volume of ice (in^3/kJ)</t>
  </si>
  <si>
    <t xml:space="preserve">Textbooks of ice required </t>
  </si>
  <si>
    <t>Cost Calculations</t>
  </si>
  <si>
    <t>Cost of electricity during peak ($/kWh)</t>
  </si>
  <si>
    <t>Summer</t>
  </si>
  <si>
    <t>Cost of electricity during off peak ($/kWh)</t>
  </si>
  <si>
    <t>Cost of electricity saving during passing ($/kWh)</t>
  </si>
  <si>
    <t>Winter</t>
  </si>
  <si>
    <t>Conversion (seconds/hour)</t>
  </si>
  <si>
    <t>Cooling load (kWh)</t>
  </si>
  <si>
    <t>Cost saving per day ($)</t>
  </si>
  <si>
    <t>Cost saving per year ($)</t>
  </si>
  <si>
    <t>STEP 1: Determine Required Ice volume per different grocery load scenarios</t>
  </si>
  <si>
    <t>Inputs/Assumptions</t>
  </si>
  <si>
    <t>Passive Start</t>
  </si>
  <si>
    <t>Passive End</t>
  </si>
  <si>
    <t>Assuming Rate schedule with 5-8 pm</t>
  </si>
  <si>
    <t>Need to figure out</t>
  </si>
  <si>
    <t>Time of Day</t>
  </si>
  <si>
    <t>Freezer Activated</t>
  </si>
  <si>
    <t>Heat transfer through refrigerator walls</t>
  </si>
  <si>
    <t>Heat transfer through freezer walls</t>
  </si>
  <si>
    <t>Grocery Load (cans)</t>
  </si>
  <si>
    <t>Grocery Load (kJ)</t>
  </si>
  <si>
    <t>Total KJ load</t>
  </si>
  <si>
    <t>Instantaneous kW</t>
  </si>
  <si>
    <t>how to calculate the time required to freeze the ice</t>
  </si>
  <si>
    <t>Can to kJ conversion</t>
  </si>
  <si>
    <t>Heat transfer through freezer walls value</t>
  </si>
  <si>
    <t>Heat transfer through refrigerator walls value</t>
  </si>
  <si>
    <t>Total required kJ during passive period</t>
  </si>
  <si>
    <t>KJ to volume of ice conversion (in^3/kJ)</t>
  </si>
  <si>
    <t>Total volume of ice required during passive period</t>
  </si>
  <si>
    <t>Rectangle area</t>
  </si>
  <si>
    <t>Rectangle height</t>
  </si>
  <si>
    <t xml:space="preserve">Block volume </t>
  </si>
  <si>
    <t>How many blocks</t>
  </si>
  <si>
    <t>☺</t>
  </si>
  <si>
    <t>STEP 2: Determine how long and how much electricity it will take for the ice to freeze</t>
  </si>
  <si>
    <t>Considerations for when ice is already at 0 degrees</t>
  </si>
  <si>
    <t>Calculations for bringing ice from 3 to 0 degrees</t>
  </si>
  <si>
    <t>Energy required for ice to switch phase</t>
  </si>
  <si>
    <t>Latent heat of fusion of ice(kJ/kg) (L)</t>
  </si>
  <si>
    <t>Specific heat of water</t>
  </si>
  <si>
    <t>kJ/kgC</t>
  </si>
  <si>
    <t>Volume of Ice (From Step 1) in^3</t>
  </si>
  <si>
    <t>Initial Temperature (C)</t>
  </si>
  <si>
    <t>m per inch</t>
  </si>
  <si>
    <t>Final Temperature (C)</t>
  </si>
  <si>
    <t>Volume of Ice m^3</t>
  </si>
  <si>
    <t>Energy to cool water (kJ)</t>
  </si>
  <si>
    <t>Density of Ice (kg/m^3)</t>
  </si>
  <si>
    <t>Mass of Ice (kg)</t>
  </si>
  <si>
    <t>Energy taken away to to freeze Ice (KJ)</t>
  </si>
  <si>
    <t>Total Energy (cool water + freeze) (kJ)</t>
  </si>
  <si>
    <t>kJ = kWs</t>
  </si>
  <si>
    <t>Total Energy (cool water + freeze) (kWh)</t>
  </si>
  <si>
    <t>kWh = kWs*hr/3600 s</t>
  </si>
  <si>
    <t>Time spent freezing ice (hours)</t>
  </si>
  <si>
    <t>Time spent freezing ice (seconds)</t>
  </si>
  <si>
    <t>Power required to freeze ice over period</t>
  </si>
  <si>
    <t>Rate schedule (Non Peak)</t>
  </si>
  <si>
    <t>Summer ($/kWh)</t>
  </si>
  <si>
    <t>Winter ($/kWh)</t>
  </si>
  <si>
    <t>Average (#/kWh)</t>
  </si>
  <si>
    <t>Money cost to freeze ice over period</t>
  </si>
  <si>
    <t>STEP 3: Determine Fan CFM and resulting output temperature based on surface area</t>
  </si>
  <si>
    <t>Control Panel</t>
  </si>
  <si>
    <t>Air conditions</t>
  </si>
  <si>
    <t>Fin and block information</t>
  </si>
  <si>
    <t>Other</t>
  </si>
  <si>
    <t>Assumptions for Air conditions</t>
  </si>
  <si>
    <t>Assumptions for fin and block</t>
  </si>
  <si>
    <t>a)</t>
  </si>
  <si>
    <t>R value of air kJ/kg</t>
  </si>
  <si>
    <t>Fin spacing</t>
  </si>
  <si>
    <t>Required heat removed (KJ)</t>
  </si>
  <si>
    <t>b)</t>
  </si>
  <si>
    <t>Atmospheric pressure</t>
  </si>
  <si>
    <t>Fin thickness (in)</t>
  </si>
  <si>
    <t>Required heat removed/s (kW)</t>
  </si>
  <si>
    <t>c)</t>
  </si>
  <si>
    <t>Refrigeration temperature (K)</t>
  </si>
  <si>
    <t>Length of block (in)</t>
  </si>
  <si>
    <t>Ideal refrigeration temperature (C)</t>
  </si>
  <si>
    <t>Not used in any calcs atm</t>
  </si>
  <si>
    <t>d)</t>
  </si>
  <si>
    <t>Freezer Temperature</t>
  </si>
  <si>
    <t>Depth of block (in)</t>
  </si>
  <si>
    <t>Conversion (m^3/s per cfm)</t>
  </si>
  <si>
    <t>e)</t>
  </si>
  <si>
    <t>Average temperature</t>
  </si>
  <si>
    <t>Fin height</t>
  </si>
  <si>
    <t>f)</t>
  </si>
  <si>
    <t>Kinematic Viscosity (v)</t>
  </si>
  <si>
    <t>Find in tables</t>
  </si>
  <si>
    <t>g)</t>
  </si>
  <si>
    <t>Surface temperature of fins</t>
  </si>
  <si>
    <t>cp air</t>
  </si>
  <si>
    <t>J/kg·K</t>
  </si>
  <si>
    <t>h)</t>
  </si>
  <si>
    <t>Quantity of ice layers</t>
  </si>
  <si>
    <t>Prandtl</t>
  </si>
  <si>
    <t>i)</t>
  </si>
  <si>
    <t>Quantity of fin layers</t>
  </si>
  <si>
    <t>Entering air temperature (C)</t>
  </si>
  <si>
    <t>Calculated Steps for fin and block</t>
  </si>
  <si>
    <t>Thermal conductivity of air</t>
  </si>
  <si>
    <t>j)</t>
  </si>
  <si>
    <t>Number of fins</t>
  </si>
  <si>
    <t>Calculated Steps for Air conditions</t>
  </si>
  <si>
    <t>k)</t>
  </si>
  <si>
    <t>Average density of air (kg/m^3)</t>
  </si>
  <si>
    <t>l)</t>
  </si>
  <si>
    <t>a/b  Fin height/spacing</t>
  </si>
  <si>
    <t>Air dynamic Viscosity (mu)</t>
  </si>
  <si>
    <t>m)</t>
  </si>
  <si>
    <t>Fin cross sectional area Ac (in)]</t>
  </si>
  <si>
    <t>n)</t>
  </si>
  <si>
    <t>Fin perimeter P (in)</t>
  </si>
  <si>
    <t>o)</t>
  </si>
  <si>
    <t>Dh (in)</t>
  </si>
  <si>
    <t>p)</t>
  </si>
  <si>
    <t>Dh (m)</t>
  </si>
  <si>
    <t>q)</t>
  </si>
  <si>
    <t>Nusselt for Laminar table</t>
  </si>
  <si>
    <t>r)</t>
  </si>
  <si>
    <t>Fin surface area (in)</t>
  </si>
  <si>
    <t>s)</t>
  </si>
  <si>
    <t>Surface area (m)</t>
  </si>
  <si>
    <t>volumetric flow (CFM)</t>
  </si>
  <si>
    <t>Volumetric Flow (m^3/s)</t>
  </si>
  <si>
    <t>Mass flow (kg/s)</t>
  </si>
  <si>
    <t>Mass flow per fin spac (kg/s)</t>
  </si>
  <si>
    <t>Air velocity (m/s)</t>
  </si>
  <si>
    <t>Reynolds number</t>
  </si>
  <si>
    <t>Turbulent?</t>
  </si>
  <si>
    <t>Entry length</t>
  </si>
  <si>
    <t>Nusselt Number</t>
  </si>
  <si>
    <t>heat transfer coefficient (W/m^2C)</t>
  </si>
  <si>
    <t>Leaving air temp required</t>
  </si>
  <si>
    <t>Leaving air temperature provided</t>
  </si>
  <si>
    <t>Height of gap (in)</t>
  </si>
  <si>
    <t>Surface temperature of ice</t>
  </si>
  <si>
    <t>Quantity of surfaces</t>
  </si>
  <si>
    <t>How tall is the gap (in)</t>
  </si>
  <si>
    <t>Ac no fin (in^2)</t>
  </si>
  <si>
    <t>Surface rea of block (in)</t>
  </si>
  <si>
    <t>P no fin</t>
  </si>
  <si>
    <t>a/b  height/spacing</t>
  </si>
  <si>
    <t>Dh no fin (in)</t>
  </si>
  <si>
    <t>Gap cross sectional area Ac (in)]</t>
  </si>
  <si>
    <t>Gap cross sectional area Ac (m)]</t>
  </si>
  <si>
    <t>Perimeter (in)</t>
  </si>
  <si>
    <t>Total surface area (in)</t>
  </si>
  <si>
    <t>STEP 4: Ensure that the ice will remain frozen and surface temp will stay at 0 C</t>
  </si>
  <si>
    <t>Ice thickness (in)</t>
  </si>
  <si>
    <t>Ice thickness (m)</t>
  </si>
  <si>
    <t>Pieces</t>
  </si>
  <si>
    <t>Thickness of each piece (m)</t>
  </si>
  <si>
    <t>Temperature</t>
  </si>
  <si>
    <t>Time (hours)</t>
  </si>
  <si>
    <t>TOP OF ICE</t>
  </si>
  <si>
    <t>Height from bottom</t>
  </si>
  <si>
    <t>Time (seconds)</t>
  </si>
  <si>
    <t>Bottom of ice</t>
  </si>
  <si>
    <t>STEP 4: Ensure that the ice will remain frozen and surface temp will stay at approximately 0 C</t>
  </si>
  <si>
    <t>Initial Temperature of Ice (C)</t>
  </si>
  <si>
    <t>Phase change temperature (C)</t>
  </si>
  <si>
    <t>Ice Volume (in^3)</t>
  </si>
  <si>
    <t>Ice Volume (m^3)</t>
  </si>
  <si>
    <t>specific heat of ice (kJ/kgC)</t>
  </si>
  <si>
    <t>Ice Density (kg/m^3)</t>
  </si>
  <si>
    <t>Heat of fusion (ice) (kJ/kg)</t>
  </si>
  <si>
    <t>Ice mass (kg)</t>
  </si>
  <si>
    <t>specific heat of water (kJ/kg)</t>
  </si>
  <si>
    <t>Q = mcp(Ti-Tf)</t>
  </si>
  <si>
    <t>Change Temperature</t>
  </si>
  <si>
    <t>21.1 = (2.28*2.09)(-3-Tf)</t>
  </si>
  <si>
    <t>Phase Change</t>
  </si>
  <si>
    <t>Melting rate (Qin) (kW)</t>
  </si>
  <si>
    <t>ASSUMING LUMPED (ALL ABOUT THE SAME TEMPERATURE)</t>
  </si>
  <si>
    <t>Time (minutes)</t>
  </si>
  <si>
    <t>Heat added (kJ)</t>
  </si>
  <si>
    <t>Average Temperature</t>
  </si>
  <si>
    <t>Mass of ice melted</t>
  </si>
  <si>
    <t>State</t>
  </si>
  <si>
    <t>Area of block (in)</t>
  </si>
  <si>
    <t>Proof of concept --&gt; Considering the heat transfer through the refrigerator's walls and a typical load of new groceries, what is the volume of ice required?</t>
  </si>
  <si>
    <t xml:space="preserve">Calculations based off of this size refrigerator </t>
  </si>
  <si>
    <t>Q Grocery Load (KJ) per entire load</t>
  </si>
  <si>
    <t>Q from heat transfer through walls (kJ)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</si>
</sst>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00000"/>
    <numFmt numFmtId="165" formatCode="#,##0.0000"/>
    <numFmt numFmtId="166" formatCode="0.000"/>
    <numFmt numFmtId="167" formatCode="0.0"/>
    <numFmt numFmtId="168" formatCode="0.0000"/>
    <numFmt numFmtId="169" formatCode="&quot;$&quot;#,##0.00"/>
    <numFmt numFmtId="170" formatCode="0.000000"/>
    <numFmt numFmtId="171" formatCode="0.00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b/>
      <sz val="13.0"/>
      <color theme="1"/>
      <name val="Arial"/>
      <scheme val="minor"/>
    </font>
    <font>
      <sz val="63.0"/>
      <color theme="1"/>
      <name val="Arial"/>
      <scheme val="minor"/>
    </font>
    <font>
      <b/>
      <sz val="14.0"/>
      <color theme="1"/>
      <name val="Arial"/>
      <scheme val="minor"/>
    </font>
    <font>
      <b/>
      <color rgb="FFCC0000"/>
      <name val="Arial"/>
      <scheme val="minor"/>
    </font>
    <font>
      <u/>
      <color rgb="FF0000FF"/>
    </font>
  </fonts>
  <fills count="2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5EEFF"/>
        <bgColor rgb="FFE5EEFF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F1F6FF"/>
        <bgColor rgb="FFF1F6FF"/>
      </patternFill>
    </fill>
    <fill>
      <patternFill patternType="solid">
        <fgColor rgb="FFE7E3EF"/>
        <bgColor rgb="FFE7E3EF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1" numFmtId="0" xfId="0" applyFont="1"/>
    <xf borderId="0" fillId="3" fontId="1" numFmtId="164" xfId="0" applyAlignment="1" applyFont="1" applyNumberFormat="1">
      <alignment readingOrder="0"/>
    </xf>
    <xf borderId="0" fillId="3" fontId="1" numFmtId="165" xfId="0" applyFont="1" applyNumberFormat="1"/>
    <xf borderId="0" fillId="4" fontId="1" numFmtId="0" xfId="0" applyAlignment="1" applyFill="1" applyFont="1">
      <alignment readingOrder="0"/>
    </xf>
    <xf borderId="0" fillId="4" fontId="1" numFmtId="4" xfId="0" applyFont="1" applyNumberFormat="1"/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6" fontId="1" numFmtId="1" xfId="0" applyFont="1" applyNumberFormat="1"/>
    <xf borderId="0" fillId="7" fontId="3" numFmtId="0" xfId="0" applyAlignment="1" applyFill="1" applyFont="1">
      <alignment horizontal="center" readingOrder="0"/>
    </xf>
    <xf borderId="0" fillId="8" fontId="1" numFmtId="0" xfId="0" applyAlignment="1" applyFill="1" applyFont="1">
      <alignment readingOrder="0"/>
    </xf>
    <xf borderId="0" fillId="8" fontId="1" numFmtId="2" xfId="0" applyFont="1" applyNumberFormat="1"/>
    <xf borderId="0" fillId="8" fontId="1" numFmtId="166" xfId="0" applyFont="1" applyNumberFormat="1"/>
    <xf borderId="0" fillId="9" fontId="1" numFmtId="0" xfId="0" applyAlignment="1" applyFill="1" applyFont="1">
      <alignment readingOrder="0"/>
    </xf>
    <xf borderId="0" fillId="9" fontId="1" numFmtId="166" xfId="0" applyFont="1" applyNumberFormat="1"/>
    <xf borderId="0" fillId="0" fontId="1" numFmtId="166" xfId="0" applyFont="1" applyNumberFormat="1"/>
    <xf borderId="0" fillId="10" fontId="1" numFmtId="0" xfId="0" applyAlignment="1" applyFill="1" applyFont="1">
      <alignment readingOrder="0"/>
    </xf>
    <xf borderId="0" fillId="10" fontId="1" numFmtId="166" xfId="0" applyFont="1" applyNumberFormat="1"/>
    <xf borderId="0" fillId="2" fontId="1" numFmtId="0" xfId="0" applyAlignment="1" applyFont="1">
      <alignment readingOrder="0"/>
    </xf>
    <xf borderId="0" fillId="2" fontId="1" numFmtId="166" xfId="0" applyFont="1" applyNumberFormat="1"/>
    <xf borderId="0" fillId="11" fontId="1" numFmtId="0" xfId="0" applyAlignment="1" applyFill="1" applyFont="1">
      <alignment readingOrder="0"/>
    </xf>
    <xf borderId="0" fillId="11" fontId="1" numFmtId="166" xfId="0" applyFont="1" applyNumberFormat="1"/>
    <xf borderId="0" fillId="11" fontId="1" numFmtId="167" xfId="0" applyFont="1" applyNumberFormat="1"/>
    <xf borderId="0" fillId="12" fontId="1" numFmtId="0" xfId="0" applyAlignment="1" applyFill="1" applyFont="1">
      <alignment readingOrder="0"/>
    </xf>
    <xf borderId="0" fillId="12" fontId="1" numFmtId="1" xfId="0" applyFont="1" applyNumberFormat="1"/>
    <xf borderId="0" fillId="3" fontId="4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3" fontId="1" numFmtId="2" xfId="0" applyFont="1" applyNumberFormat="1"/>
    <xf borderId="0" fillId="3" fontId="4" numFmtId="0" xfId="0" applyAlignment="1" applyFont="1">
      <alignment readingOrder="0" vertical="bottom"/>
    </xf>
    <xf borderId="0" fillId="3" fontId="4" numFmtId="0" xfId="0" applyAlignment="1" applyFont="1">
      <alignment horizontal="right" readingOrder="0" vertical="bottom"/>
    </xf>
    <xf borderId="0" fillId="4" fontId="5" numFmtId="168" xfId="0" applyFont="1" applyNumberFormat="1"/>
    <xf borderId="0" fillId="4" fontId="1" numFmtId="1" xfId="0" applyFont="1" applyNumberFormat="1"/>
    <xf borderId="0" fillId="3" fontId="1" numFmtId="167" xfId="0" applyFont="1" applyNumberFormat="1"/>
    <xf borderId="0" fillId="3" fontId="5" numFmtId="167" xfId="0" applyFont="1" applyNumberFormat="1"/>
    <xf borderId="0" fillId="2" fontId="1" numFmtId="0" xfId="0" applyFont="1"/>
    <xf borderId="0" fillId="8" fontId="1" numFmtId="169" xfId="0" applyAlignment="1" applyFont="1" applyNumberFormat="1">
      <alignment readingOrder="0"/>
    </xf>
    <xf borderId="0" fillId="8" fontId="1" numFmtId="169" xfId="0" applyFont="1" applyNumberFormat="1"/>
    <xf borderId="0" fillId="12" fontId="1" numFmtId="169" xfId="0" applyAlignment="1" applyFont="1" applyNumberFormat="1">
      <alignment readingOrder="0"/>
    </xf>
    <xf borderId="0" fillId="12" fontId="1" numFmtId="169" xfId="0" applyFont="1" applyNumberFormat="1"/>
    <xf borderId="0" fillId="0" fontId="1" numFmtId="169" xfId="0" applyFont="1" applyNumberFormat="1"/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13" fontId="1" numFmtId="0" xfId="0" applyAlignment="1" applyFill="1" applyFont="1">
      <alignment horizontal="center" readingOrder="0" shrinkToFit="0" wrapText="1"/>
    </xf>
    <xf borderId="0" fillId="0" fontId="1" numFmtId="170" xfId="0" applyFont="1" applyNumberFormat="1"/>
    <xf borderId="0" fillId="14" fontId="1" numFmtId="20" xfId="0" applyAlignment="1" applyFill="1" applyFont="1" applyNumberFormat="1">
      <alignment readingOrder="0"/>
    </xf>
    <xf borderId="0" fillId="0" fontId="1" numFmtId="1" xfId="0" applyFont="1" applyNumberFormat="1"/>
    <xf borderId="0" fillId="0" fontId="7" numFmtId="0" xfId="0" applyAlignment="1" applyFont="1">
      <alignment readingOrder="0"/>
    </xf>
    <xf borderId="0" fillId="0" fontId="1" numFmtId="171" xfId="0" applyFont="1" applyNumberFormat="1"/>
    <xf borderId="0" fillId="0" fontId="1" numFmtId="2" xfId="0" applyFont="1" applyNumberFormat="1"/>
    <xf borderId="0" fillId="2" fontId="8" numFmtId="0" xfId="0" applyAlignment="1" applyFont="1">
      <alignment readingOrder="0"/>
    </xf>
    <xf borderId="0" fillId="15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2" fontId="1" numFmtId="0" xfId="0" applyAlignment="1" applyFont="1">
      <alignment horizontal="center" readingOrder="0"/>
    </xf>
    <xf borderId="0" fillId="18" fontId="1" numFmtId="0" xfId="0" applyAlignment="1" applyFill="1" applyFont="1">
      <alignment horizontal="center" readingOrder="0"/>
    </xf>
    <xf borderId="0" fillId="8" fontId="1" numFmtId="0" xfId="0" applyFont="1"/>
    <xf borderId="0" fillId="0" fontId="9" numFmtId="0" xfId="0" applyAlignment="1" applyFont="1">
      <alignment horizontal="right" readingOrder="0"/>
    </xf>
    <xf borderId="0" fillId="19" fontId="9" numFmtId="0" xfId="0" applyAlignment="1" applyFill="1" applyFont="1">
      <alignment horizontal="right" readingOrder="0"/>
    </xf>
    <xf borderId="0" fillId="19" fontId="1" numFmtId="0" xfId="0" applyAlignment="1" applyFont="1">
      <alignment readingOrder="0"/>
    </xf>
    <xf borderId="0" fillId="19" fontId="1" numFmtId="0" xfId="0" applyFont="1"/>
    <xf borderId="0" fillId="20" fontId="9" numFmtId="0" xfId="0" applyAlignment="1" applyFill="1" applyFont="1">
      <alignment horizontal="right" readingOrder="0"/>
    </xf>
    <xf borderId="0" fillId="20" fontId="1" numFmtId="0" xfId="0" applyAlignment="1" applyFont="1">
      <alignment readingOrder="0"/>
    </xf>
    <xf borderId="0" fillId="20" fontId="1" numFmtId="0" xfId="0" applyFont="1"/>
    <xf borderId="0" fillId="8" fontId="9" numFmtId="0" xfId="0" applyAlignment="1" applyFont="1">
      <alignment horizontal="right" readingOrder="0"/>
    </xf>
    <xf borderId="0" fillId="8" fontId="1" numFmtId="170" xfId="0" applyFont="1" applyNumberFormat="1"/>
    <xf borderId="0" fillId="21" fontId="1" numFmtId="0" xfId="0" applyAlignment="1" applyFill="1" applyFont="1">
      <alignment readingOrder="0"/>
    </xf>
    <xf borderId="0" fillId="19" fontId="1" numFmtId="0" xfId="0" applyAlignment="1" applyFont="1">
      <alignment horizontal="center" readingOrder="0"/>
    </xf>
    <xf borderId="0" fillId="19" fontId="1" numFmtId="2" xfId="0" applyFont="1" applyNumberFormat="1"/>
    <xf borderId="0" fillId="20" fontId="1" numFmtId="166" xfId="0" applyAlignment="1" applyFont="1" applyNumberFormat="1">
      <alignment readingOrder="0"/>
    </xf>
    <xf borderId="0" fillId="20" fontId="1" numFmtId="166" xfId="0" applyFont="1" applyNumberFormat="1"/>
    <xf borderId="0" fillId="20" fontId="1" numFmtId="2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0" fontId="1" numFmtId="168" xfId="0" applyAlignment="1" applyFont="1" applyNumberFormat="1">
      <alignment horizontal="center"/>
    </xf>
    <xf borderId="0" fillId="5" fontId="1" numFmtId="168" xfId="0" applyAlignment="1" applyFont="1" applyNumberFormat="1">
      <alignment horizontal="center"/>
    </xf>
    <xf borderId="0" fillId="0" fontId="1" numFmtId="170" xfId="0" applyAlignment="1" applyFont="1" applyNumberFormat="1">
      <alignment horizontal="center"/>
    </xf>
    <xf borderId="0" fillId="5" fontId="1" numFmtId="170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5" fontId="1" numFmtId="1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0" fontId="1" numFmtId="166" xfId="0" applyAlignment="1" applyFont="1" applyNumberFormat="1">
      <alignment horizontal="center"/>
    </xf>
    <xf borderId="0" fillId="5" fontId="1" numFmtId="166" xfId="0" applyAlignment="1" applyFont="1" applyNumberFormat="1">
      <alignment horizontal="center"/>
    </xf>
    <xf borderId="0" fillId="0" fontId="1" numFmtId="1" xfId="0" applyAlignment="1" applyFont="1" applyNumberFormat="1">
      <alignment horizontal="center" readingOrder="0"/>
    </xf>
    <xf borderId="0" fillId="5" fontId="1" numFmtId="1" xfId="0" applyAlignment="1" applyFont="1" applyNumberFormat="1">
      <alignment horizontal="center" readingOrder="0"/>
    </xf>
    <xf borderId="0" fillId="0" fontId="1" numFmtId="171" xfId="0" applyAlignment="1" applyFont="1" applyNumberFormat="1">
      <alignment horizontal="center"/>
    </xf>
    <xf borderId="0" fillId="5" fontId="1" numFmtId="171" xfId="0" applyAlignment="1" applyFont="1" applyNumberFormat="1">
      <alignment horizontal="center"/>
    </xf>
    <xf borderId="0" fillId="0" fontId="1" numFmtId="168" xfId="0" applyFont="1" applyNumberFormat="1"/>
    <xf borderId="0" fillId="0" fontId="1" numFmtId="0" xfId="0" applyAlignment="1" applyFont="1">
      <alignment horizontal="right"/>
    </xf>
    <xf borderId="0" fillId="0" fontId="1" numFmtId="167" xfId="0" applyFont="1" applyNumberFormat="1"/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0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22" fontId="1" numFmtId="0" xfId="0" applyAlignment="1" applyFill="1" applyFont="1">
      <alignment readingOrder="0"/>
    </xf>
    <xf borderId="0" fillId="22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Instantaneous kW vs. Time of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'STEP 1'!$D$11:$D$107</c:f>
            </c:strRef>
          </c:cat>
          <c:val>
            <c:numRef>
              <c:f>'STEP 1'!$K$11:$K$107</c:f>
              <c:numCache/>
            </c:numRef>
          </c:val>
          <c:smooth val="0"/>
        </c:ser>
        <c:axId val="1479853607"/>
        <c:axId val="1635140662"/>
      </c:lineChart>
      <c:catAx>
        <c:axId val="1479853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5140662"/>
      </c:catAx>
      <c:valAx>
        <c:axId val="1635140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Instantaneous kW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98536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Relationship Id="rId3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Relationship Id="rId3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952500</xdr:colOff>
      <xdr:row>1</xdr:row>
      <xdr:rowOff>219075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1009650</xdr:colOff>
      <xdr:row>45</xdr:row>
      <xdr:rowOff>171450</xdr:rowOff>
    </xdr:from>
    <xdr:ext cx="6543675" cy="14668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49</xdr:row>
      <xdr:rowOff>47625</xdr:rowOff>
    </xdr:from>
    <xdr:ext cx="4895850" cy="19621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25</xdr:row>
      <xdr:rowOff>104775</xdr:rowOff>
    </xdr:from>
    <xdr:ext cx="4667250" cy="73342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65</xdr:row>
      <xdr:rowOff>38100</xdr:rowOff>
    </xdr:from>
    <xdr:ext cx="4248150" cy="8191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5553075" cy="3667125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1600200</xdr:colOff>
      <xdr:row>55</xdr:row>
      <xdr:rowOff>114300</xdr:rowOff>
    </xdr:from>
    <xdr:ext cx="5448300" cy="1724025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1009650</xdr:colOff>
      <xdr:row>44</xdr:row>
      <xdr:rowOff>171450</xdr:rowOff>
    </xdr:from>
    <xdr:ext cx="6543675" cy="14668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48</xdr:row>
      <xdr:rowOff>47625</xdr:rowOff>
    </xdr:from>
    <xdr:ext cx="4895850" cy="19621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238125</xdr:colOff>
      <xdr:row>23</xdr:row>
      <xdr:rowOff>123825</xdr:rowOff>
    </xdr:from>
    <xdr:ext cx="4667250" cy="73342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7</xdr:row>
      <xdr:rowOff>0</xdr:rowOff>
    </xdr:from>
    <xdr:ext cx="2009775" cy="18192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1009650</xdr:colOff>
      <xdr:row>44</xdr:row>
      <xdr:rowOff>171450</xdr:rowOff>
    </xdr:from>
    <xdr:ext cx="6543675" cy="14668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48</xdr:row>
      <xdr:rowOff>47625</xdr:rowOff>
    </xdr:from>
    <xdr:ext cx="4895850" cy="19621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25</xdr:row>
      <xdr:rowOff>104775</xdr:rowOff>
    </xdr:from>
    <xdr:ext cx="4667250" cy="73342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7</xdr:row>
      <xdr:rowOff>19050</xdr:rowOff>
    </xdr:from>
    <xdr:ext cx="4629150" cy="2552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Isabel Price" id="{89724de3-0616-4c89-ab60-2606c52c1cf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4-20T03:01:05.00" personId="{89724de3-0616-4c89-ab60-2606c52c1cf3}" id="{b648432c-6ff8-4807-8aa8-4a70f46d9515}" done="0">
    <x18tc:text xml:space="preserve">Can make this automatic based on hours later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wayfair.com/sca/ideas-and-advice/guides/your-guide-to-mini-fridge-sizes-T22655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ayfair.com/sca/ideas-and-advice/guides/your-guide-to-mini-fridge-sizes-T22655" TargetMode="External"/><Relationship Id="rId2" Type="http://schemas.openxmlformats.org/officeDocument/2006/relationships/hyperlink" Target="https://www.colesappliance.com/product/magic-chef-32-cuft-platinum-steel-compact-refrigerator-mcar320pse-963511" TargetMode="External"/><Relationship Id="rId3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30.0"/>
    <col customWidth="1" min="5" max="5" width="17.38"/>
  </cols>
  <sheetData>
    <row r="5">
      <c r="A5" s="1" t="s">
        <v>0</v>
      </c>
    </row>
    <row r="6">
      <c r="A6" s="1" t="s">
        <v>1</v>
      </c>
      <c r="C6" s="2" t="s">
        <v>2</v>
      </c>
    </row>
    <row r="8">
      <c r="A8" s="3" t="s">
        <v>3</v>
      </c>
    </row>
    <row r="9">
      <c r="A9" s="4" t="s">
        <v>4</v>
      </c>
      <c r="B9" s="4">
        <v>20.0</v>
      </c>
    </row>
    <row r="10">
      <c r="A10" s="4" t="s">
        <v>5</v>
      </c>
      <c r="B10" s="4">
        <v>12.0</v>
      </c>
      <c r="D10" s="1" t="s">
        <v>6</v>
      </c>
    </row>
    <row r="11">
      <c r="A11" s="4" t="s">
        <v>7</v>
      </c>
      <c r="B11" s="5">
        <f>B9*B10</f>
        <v>240</v>
      </c>
      <c r="D11" s="6">
        <f>B10*B12*B14*B16*(B17-B18)</f>
        <v>27.09793843</v>
      </c>
    </row>
    <row r="12">
      <c r="A12" s="4" t="s">
        <v>8</v>
      </c>
      <c r="B12" s="7">
        <f>0.000029574</f>
        <v>0.000029574</v>
      </c>
    </row>
    <row r="13">
      <c r="A13" s="4" t="s">
        <v>9</v>
      </c>
      <c r="B13" s="8">
        <f>B12*B11</f>
        <v>0.00709776</v>
      </c>
    </row>
    <row r="14">
      <c r="A14" s="4" t="s">
        <v>10</v>
      </c>
      <c r="B14" s="4">
        <v>998.2</v>
      </c>
    </row>
    <row r="15">
      <c r="A15" s="9" t="s">
        <v>11</v>
      </c>
      <c r="B15" s="10">
        <f>B14*B13</f>
        <v>7.084984032</v>
      </c>
    </row>
    <row r="16">
      <c r="A16" s="11" t="s">
        <v>12</v>
      </c>
      <c r="B16" s="11">
        <v>4.18</v>
      </c>
    </row>
    <row r="17">
      <c r="A17" s="11" t="s">
        <v>13</v>
      </c>
      <c r="B17" s="11">
        <v>21.0</v>
      </c>
    </row>
    <row r="18">
      <c r="A18" s="11" t="s">
        <v>14</v>
      </c>
      <c r="B18" s="11">
        <v>2.7</v>
      </c>
    </row>
    <row r="19">
      <c r="A19" s="12" t="s">
        <v>15</v>
      </c>
      <c r="B19" s="13">
        <f>B15*B16*(B17-B18)</f>
        <v>541.9587685</v>
      </c>
      <c r="C19" s="1" t="s">
        <v>16</v>
      </c>
    </row>
    <row r="21">
      <c r="A21" s="14" t="s">
        <v>17</v>
      </c>
    </row>
    <row r="22">
      <c r="A22" s="15" t="s">
        <v>18</v>
      </c>
      <c r="B22" s="15">
        <v>33.4</v>
      </c>
    </row>
    <row r="23">
      <c r="A23" s="15" t="s">
        <v>19</v>
      </c>
      <c r="B23" s="15">
        <v>17.5</v>
      </c>
    </row>
    <row r="24">
      <c r="A24" s="15" t="s">
        <v>20</v>
      </c>
      <c r="B24" s="15">
        <v>18.7</v>
      </c>
    </row>
    <row r="25">
      <c r="A25" s="15" t="s">
        <v>21</v>
      </c>
      <c r="B25" s="15">
        <v>0.0254</v>
      </c>
    </row>
    <row r="26">
      <c r="A26" s="15" t="s">
        <v>22</v>
      </c>
      <c r="B26" s="16">
        <f>B25*B22</f>
        <v>0.84836</v>
      </c>
    </row>
    <row r="27">
      <c r="A27" s="15" t="s">
        <v>23</v>
      </c>
      <c r="B27" s="16">
        <f>B23*B25</f>
        <v>0.4445</v>
      </c>
      <c r="E27" s="1" t="s">
        <v>24</v>
      </c>
    </row>
    <row r="28">
      <c r="A28" s="15" t="s">
        <v>25</v>
      </c>
      <c r="B28" s="16">
        <f>B24*B25</f>
        <v>0.47498</v>
      </c>
      <c r="E28" s="1" t="s">
        <v>26</v>
      </c>
      <c r="F28" s="1">
        <v>0.0</v>
      </c>
    </row>
    <row r="29">
      <c r="A29" s="15" t="s">
        <v>27</v>
      </c>
      <c r="B29" s="17">
        <f t="shared" ref="B29:B30" si="1">B26*B27</f>
        <v>0.37709602</v>
      </c>
      <c r="E29" s="1" t="s">
        <v>28</v>
      </c>
      <c r="F29" s="1">
        <v>0.3048</v>
      </c>
    </row>
    <row r="30">
      <c r="A30" s="15" t="s">
        <v>29</v>
      </c>
      <c r="B30" s="17">
        <f t="shared" si="1"/>
        <v>0.21112861</v>
      </c>
      <c r="E30" s="1" t="s">
        <v>30</v>
      </c>
      <c r="F30" s="6">
        <f>F29*B27</f>
        <v>0.1354836</v>
      </c>
    </row>
    <row r="31">
      <c r="A31" s="15" t="s">
        <v>31</v>
      </c>
      <c r="B31" s="17">
        <f>B26*B28</f>
        <v>0.4029540328</v>
      </c>
      <c r="E31" s="1" t="s">
        <v>32</v>
      </c>
      <c r="F31" s="6">
        <f>F29*B28</f>
        <v>0.144773904</v>
      </c>
    </row>
    <row r="32">
      <c r="A32" s="18" t="s">
        <v>33</v>
      </c>
      <c r="B32" s="19">
        <f>B29*2+B30+B31*2</f>
        <v>1.771228716</v>
      </c>
      <c r="E32" s="1" t="s">
        <v>34</v>
      </c>
      <c r="F32" s="20">
        <f>B30+2*F30+2*F31</f>
        <v>0.771643618</v>
      </c>
    </row>
    <row r="34">
      <c r="A34" s="21" t="s">
        <v>35</v>
      </c>
      <c r="B34" s="21">
        <v>0.05</v>
      </c>
    </row>
    <row r="35">
      <c r="A35" s="21" t="s">
        <v>36</v>
      </c>
      <c r="B35" s="21">
        <v>0.36</v>
      </c>
    </row>
    <row r="36">
      <c r="A36" s="21" t="s">
        <v>37</v>
      </c>
      <c r="B36" s="21">
        <v>10.0</v>
      </c>
    </row>
    <row r="37">
      <c r="A37" s="21" t="s">
        <v>38</v>
      </c>
      <c r="B37" s="21">
        <v>10.0</v>
      </c>
    </row>
    <row r="38">
      <c r="A38" s="21" t="s">
        <v>39</v>
      </c>
      <c r="B38" s="22">
        <f>1/(B36*B32)</f>
        <v>0.0564579826</v>
      </c>
      <c r="C38" s="1" t="s">
        <v>40</v>
      </c>
      <c r="E38" s="21" t="s">
        <v>39</v>
      </c>
      <c r="F38" s="22">
        <f>1/(B36*F32)</f>
        <v>0.1295935036</v>
      </c>
      <c r="G38" s="1" t="s">
        <v>40</v>
      </c>
    </row>
    <row r="39">
      <c r="A39" s="23" t="s">
        <v>41</v>
      </c>
      <c r="B39" s="24"/>
      <c r="E39" s="23" t="s">
        <v>41</v>
      </c>
      <c r="F39" s="24"/>
    </row>
    <row r="40">
      <c r="A40" s="21" t="s">
        <v>42</v>
      </c>
      <c r="B40" s="22">
        <f>B34/(B35*B32)</f>
        <v>0.07841386472</v>
      </c>
      <c r="C40" s="1" t="s">
        <v>43</v>
      </c>
      <c r="E40" s="21" t="s">
        <v>42</v>
      </c>
      <c r="F40" s="22">
        <f>B34/(B35*F32)</f>
        <v>0.1799909772</v>
      </c>
      <c r="G40" s="1" t="s">
        <v>43</v>
      </c>
    </row>
    <row r="41">
      <c r="A41" s="23" t="s">
        <v>44</v>
      </c>
      <c r="B41" s="24"/>
      <c r="E41" s="23" t="s">
        <v>44</v>
      </c>
      <c r="F41" s="24"/>
    </row>
    <row r="42">
      <c r="A42" s="21" t="s">
        <v>45</v>
      </c>
      <c r="B42" s="22">
        <f>1/(B37*B32)</f>
        <v>0.0564579826</v>
      </c>
      <c r="C42" s="1" t="s">
        <v>40</v>
      </c>
      <c r="E42" s="21" t="s">
        <v>45</v>
      </c>
      <c r="F42" s="22">
        <f>1/(B37*F32)</f>
        <v>0.1295935036</v>
      </c>
      <c r="G42" s="1" t="s">
        <v>40</v>
      </c>
    </row>
    <row r="43">
      <c r="A43" s="25" t="s">
        <v>46</v>
      </c>
      <c r="B43" s="26">
        <f>B38+B40+B42</f>
        <v>0.1913298299</v>
      </c>
      <c r="E43" s="25" t="s">
        <v>46</v>
      </c>
      <c r="F43" s="26">
        <f>F38+F40+F42</f>
        <v>0.4391779845</v>
      </c>
    </row>
    <row r="44">
      <c r="A44" s="25" t="s">
        <v>47</v>
      </c>
      <c r="B44" s="27">
        <f>(B17-B18)/B43</f>
        <v>95.64635064</v>
      </c>
      <c r="C44" s="1" t="s">
        <v>48</v>
      </c>
      <c r="E44" s="1" t="s">
        <v>49</v>
      </c>
      <c r="F44" s="20">
        <f>(B17-F28)/F43/1000</f>
        <v>0.04781660453</v>
      </c>
      <c r="G44" s="1" t="s">
        <v>50</v>
      </c>
    </row>
    <row r="45">
      <c r="A45" s="25" t="s">
        <v>51</v>
      </c>
      <c r="B45" s="26">
        <f>B44/1000</f>
        <v>0.09564635064</v>
      </c>
      <c r="C45" s="1" t="s">
        <v>52</v>
      </c>
    </row>
    <row r="47">
      <c r="A47" s="14" t="s">
        <v>53</v>
      </c>
    </row>
    <row r="48">
      <c r="A48" s="4" t="s">
        <v>54</v>
      </c>
      <c r="B48" s="4">
        <v>3.0</v>
      </c>
    </row>
    <row r="49">
      <c r="A49" s="28" t="s">
        <v>55</v>
      </c>
      <c r="B49" s="29">
        <f>B19+B45*B48*3600</f>
        <v>1574.939355</v>
      </c>
      <c r="C49" s="1" t="s">
        <v>56</v>
      </c>
    </row>
    <row r="50">
      <c r="A50" s="30" t="s">
        <v>57</v>
      </c>
      <c r="B50" s="31">
        <v>334.0</v>
      </c>
    </row>
    <row r="51">
      <c r="A51" s="4" t="s">
        <v>58</v>
      </c>
      <c r="B51" s="32">
        <f>B49/B50</f>
        <v>4.715387292</v>
      </c>
      <c r="C51" s="1" t="s">
        <v>59</v>
      </c>
      <c r="D51" s="1" t="s">
        <v>60</v>
      </c>
    </row>
    <row r="52">
      <c r="A52" s="33" t="s">
        <v>61</v>
      </c>
      <c r="B52" s="34">
        <v>917.0</v>
      </c>
      <c r="E52" s="1" t="s">
        <v>62</v>
      </c>
    </row>
    <row r="53">
      <c r="A53" s="9" t="s">
        <v>63</v>
      </c>
      <c r="B53" s="35">
        <f>B51/B52</f>
        <v>0.005142188977</v>
      </c>
      <c r="E53" s="6">
        <f>1/B50/B52</f>
        <v>0.000003265007607</v>
      </c>
    </row>
    <row r="54">
      <c r="A54" s="9" t="s">
        <v>64</v>
      </c>
      <c r="B54" s="36">
        <f>B53/B25^3</f>
        <v>313.7956242</v>
      </c>
      <c r="C54" s="6">
        <f>9*11*3</f>
        <v>297</v>
      </c>
    </row>
    <row r="55">
      <c r="A55" s="4" t="s">
        <v>65</v>
      </c>
      <c r="B55" s="37">
        <f>8.5*11*2.5</f>
        <v>233.75</v>
      </c>
      <c r="E55" s="1" t="s">
        <v>66</v>
      </c>
    </row>
    <row r="56">
      <c r="A56" s="4" t="s">
        <v>67</v>
      </c>
      <c r="B56" s="38">
        <f>B54/B55</f>
        <v>1.342441173</v>
      </c>
      <c r="E56" s="6">
        <f>E53/(B25^3)</f>
        <v>0.1992429887</v>
      </c>
    </row>
    <row r="59">
      <c r="A59" s="3" t="s">
        <v>68</v>
      </c>
      <c r="C59" s="39"/>
    </row>
    <row r="60">
      <c r="A60" s="15" t="s">
        <v>69</v>
      </c>
      <c r="B60" s="40">
        <v>0.56</v>
      </c>
      <c r="C60" s="15" t="s">
        <v>70</v>
      </c>
    </row>
    <row r="61">
      <c r="A61" s="15" t="s">
        <v>71</v>
      </c>
      <c r="B61" s="40">
        <v>0.43</v>
      </c>
      <c r="C61" s="15" t="s">
        <v>70</v>
      </c>
    </row>
    <row r="62">
      <c r="A62" s="15" t="s">
        <v>72</v>
      </c>
      <c r="B62" s="41">
        <f>B60-B61</f>
        <v>0.13</v>
      </c>
      <c r="C62" s="15" t="s">
        <v>70</v>
      </c>
    </row>
    <row r="63">
      <c r="A63" s="28" t="s">
        <v>69</v>
      </c>
      <c r="B63" s="42">
        <v>0.48</v>
      </c>
      <c r="C63" s="28" t="s">
        <v>73</v>
      </c>
    </row>
    <row r="64">
      <c r="A64" s="28" t="s">
        <v>71</v>
      </c>
      <c r="B64" s="42">
        <v>0.44</v>
      </c>
      <c r="C64" s="28" t="s">
        <v>73</v>
      </c>
    </row>
    <row r="65">
      <c r="A65" s="28" t="s">
        <v>72</v>
      </c>
      <c r="B65" s="43">
        <f>B63-B64</f>
        <v>0.04</v>
      </c>
      <c r="C65" s="28" t="s">
        <v>73</v>
      </c>
    </row>
    <row r="66">
      <c r="A66" s="1" t="s">
        <v>74</v>
      </c>
      <c r="B66" s="1">
        <v>3600.0</v>
      </c>
    </row>
    <row r="67">
      <c r="A67" s="1" t="s">
        <v>75</v>
      </c>
      <c r="B67" s="20">
        <f>B49/B66</f>
        <v>0.4374831543</v>
      </c>
    </row>
    <row r="68">
      <c r="A68" s="15" t="s">
        <v>76</v>
      </c>
      <c r="B68" s="41">
        <f>B67*B62</f>
        <v>0.05687281006</v>
      </c>
      <c r="C68" s="15" t="s">
        <v>70</v>
      </c>
    </row>
    <row r="69">
      <c r="A69" s="28" t="s">
        <v>76</v>
      </c>
      <c r="B69" s="43">
        <f>B67*B65</f>
        <v>0.01749932617</v>
      </c>
      <c r="C69" s="28" t="s">
        <v>73</v>
      </c>
    </row>
    <row r="70">
      <c r="A70" s="1" t="s">
        <v>77</v>
      </c>
      <c r="B70" s="44">
        <f>(B68+B69)/2*365</f>
        <v>13.57291486</v>
      </c>
    </row>
  </sheetData>
  <mergeCells count="4">
    <mergeCell ref="A8:B8"/>
    <mergeCell ref="A21:B21"/>
    <mergeCell ref="A47:B47"/>
    <mergeCell ref="A59:B59"/>
  </mergeCells>
  <hyperlinks>
    <hyperlink r:id="rId4" location=":~:text=Small%20(1.1%E2%80%933.0%20cu.,for%20a%20single%20refrigeration%20compartment." ref="C6"/>
  </hyperlinks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D1" s="1"/>
      <c r="E1" s="45"/>
      <c r="F1" s="45"/>
      <c r="G1" s="45"/>
      <c r="H1" s="46"/>
      <c r="I1" s="46"/>
    </row>
    <row r="2">
      <c r="A2" s="1"/>
      <c r="B2" s="47" t="s">
        <v>78</v>
      </c>
      <c r="D2" s="1"/>
      <c r="E2" s="45"/>
      <c r="F2" s="45"/>
      <c r="G2" s="45"/>
      <c r="H2" s="46"/>
      <c r="I2" s="46"/>
    </row>
    <row r="3">
      <c r="A3" s="1"/>
      <c r="B3" s="1" t="s">
        <v>79</v>
      </c>
      <c r="D3" s="1"/>
      <c r="E3" s="45"/>
      <c r="F3" s="45"/>
      <c r="G3" s="45"/>
      <c r="H3" s="46"/>
      <c r="I3" s="46"/>
    </row>
    <row r="4">
      <c r="D4" s="1"/>
      <c r="E4" s="45"/>
      <c r="F4" s="45"/>
      <c r="G4" s="45"/>
      <c r="H4" s="46"/>
      <c r="I4" s="46"/>
    </row>
    <row r="5">
      <c r="B5" s="1" t="s">
        <v>80</v>
      </c>
      <c r="C5" s="48">
        <v>0.7083333333333334</v>
      </c>
      <c r="D5" s="1"/>
      <c r="E5" s="45"/>
      <c r="F5" s="45"/>
      <c r="G5" s="45"/>
      <c r="H5" s="46"/>
      <c r="I5" s="46"/>
    </row>
    <row r="6">
      <c r="B6" s="1" t="s">
        <v>81</v>
      </c>
      <c r="C6" s="48">
        <v>0.8333333333333334</v>
      </c>
      <c r="D6" s="1"/>
      <c r="E6" s="45"/>
      <c r="F6" s="45"/>
      <c r="G6" s="45"/>
      <c r="H6" s="46"/>
      <c r="I6" s="46"/>
    </row>
    <row r="7">
      <c r="A7" s="1"/>
      <c r="D7" s="1"/>
      <c r="E7" s="45"/>
      <c r="F7" s="45"/>
      <c r="G7" s="45"/>
      <c r="H7" s="46"/>
      <c r="I7" s="46"/>
    </row>
    <row r="8">
      <c r="A8" s="1"/>
      <c r="D8" s="1"/>
      <c r="E8" s="45"/>
      <c r="F8" s="45"/>
      <c r="G8" s="45"/>
      <c r="H8" s="46"/>
      <c r="I8" s="46"/>
    </row>
    <row r="9">
      <c r="A9" s="1"/>
      <c r="D9" s="1" t="s">
        <v>82</v>
      </c>
      <c r="E9" s="45"/>
      <c r="F9" s="45"/>
      <c r="G9" s="45"/>
      <c r="H9" s="46"/>
      <c r="I9" s="46"/>
    </row>
    <row r="10">
      <c r="A10" s="1" t="s">
        <v>83</v>
      </c>
      <c r="D10" s="1" t="s">
        <v>84</v>
      </c>
      <c r="E10" s="49" t="s">
        <v>85</v>
      </c>
      <c r="F10" s="45" t="s">
        <v>86</v>
      </c>
      <c r="G10" s="45" t="s">
        <v>87</v>
      </c>
      <c r="H10" s="46" t="s">
        <v>88</v>
      </c>
      <c r="I10" s="46" t="s">
        <v>89</v>
      </c>
      <c r="J10" s="1" t="s">
        <v>90</v>
      </c>
      <c r="K10" s="1" t="s">
        <v>91</v>
      </c>
    </row>
    <row r="11">
      <c r="A11" s="1" t="s">
        <v>92</v>
      </c>
      <c r="D11" s="48">
        <v>0.0</v>
      </c>
      <c r="E11" s="1">
        <v>0.0</v>
      </c>
      <c r="F11" s="20">
        <f t="shared" ref="F11:F106" si="1">$A$18</f>
        <v>0.09564635064</v>
      </c>
      <c r="G11" s="6">
        <f t="shared" ref="G11:G106" si="2">$A$16*E11</f>
        <v>0</v>
      </c>
      <c r="I11" s="6">
        <f t="shared" ref="I11:I106" si="3">H11*$A$14</f>
        <v>0</v>
      </c>
      <c r="J11" s="50">
        <f t="shared" ref="J11:J106" si="4">I11+(G11+F11)/15/60*3600</f>
        <v>0.3825854026</v>
      </c>
      <c r="K11" s="20">
        <f t="shared" ref="K11:K107" si="5">F11+G11+I11/0.25/3600</f>
        <v>0.09564635064</v>
      </c>
    </row>
    <row r="12">
      <c r="D12" s="48">
        <v>0.010416666666666666</v>
      </c>
      <c r="E12" s="1">
        <v>0.0</v>
      </c>
      <c r="F12" s="20">
        <f t="shared" si="1"/>
        <v>0.09564635064</v>
      </c>
      <c r="G12" s="6">
        <f t="shared" si="2"/>
        <v>0</v>
      </c>
      <c r="I12" s="6">
        <f t="shared" si="3"/>
        <v>0</v>
      </c>
      <c r="J12" s="50">
        <f t="shared" si="4"/>
        <v>0.3825854026</v>
      </c>
      <c r="K12" s="20">
        <f t="shared" si="5"/>
        <v>0.09564635064</v>
      </c>
    </row>
    <row r="13">
      <c r="A13" s="1" t="s">
        <v>93</v>
      </c>
      <c r="D13" s="48">
        <v>0.020833333333333332</v>
      </c>
      <c r="E13" s="1">
        <v>0.0</v>
      </c>
      <c r="F13" s="20">
        <f t="shared" si="1"/>
        <v>0.09564635064</v>
      </c>
      <c r="G13" s="6">
        <f t="shared" si="2"/>
        <v>0</v>
      </c>
      <c r="I13" s="6">
        <f t="shared" si="3"/>
        <v>0</v>
      </c>
      <c r="J13" s="50">
        <f t="shared" si="4"/>
        <v>0.3825854026</v>
      </c>
      <c r="K13" s="20">
        <f t="shared" si="5"/>
        <v>0.09564635064</v>
      </c>
    </row>
    <row r="14">
      <c r="A14" s="6">
        <f>'Preliminary Calc'!D11</f>
        <v>27.09793843</v>
      </c>
      <c r="D14" s="48">
        <v>0.03125</v>
      </c>
      <c r="E14" s="1">
        <v>0.0</v>
      </c>
      <c r="F14" s="20">
        <f t="shared" si="1"/>
        <v>0.09564635064</v>
      </c>
      <c r="G14" s="6">
        <f t="shared" si="2"/>
        <v>0</v>
      </c>
      <c r="I14" s="6">
        <f t="shared" si="3"/>
        <v>0</v>
      </c>
      <c r="J14" s="50">
        <f t="shared" si="4"/>
        <v>0.3825854026</v>
      </c>
      <c r="K14" s="20">
        <f t="shared" si="5"/>
        <v>0.09564635064</v>
      </c>
    </row>
    <row r="15">
      <c r="A15" s="1" t="s">
        <v>94</v>
      </c>
      <c r="D15" s="48">
        <v>0.041666666666666664</v>
      </c>
      <c r="E15" s="1">
        <v>0.0</v>
      </c>
      <c r="F15" s="20">
        <f t="shared" si="1"/>
        <v>0.09564635064</v>
      </c>
      <c r="G15" s="6">
        <f t="shared" si="2"/>
        <v>0</v>
      </c>
      <c r="I15" s="6">
        <f t="shared" si="3"/>
        <v>0</v>
      </c>
      <c r="J15" s="50">
        <f t="shared" si="4"/>
        <v>0.3825854026</v>
      </c>
      <c r="K15" s="20">
        <f t="shared" si="5"/>
        <v>0.09564635064</v>
      </c>
    </row>
    <row r="16">
      <c r="A16" s="20">
        <f>'Preliminary Calc'!F44</f>
        <v>0.04781660453</v>
      </c>
      <c r="D16" s="48">
        <v>0.052083333333333336</v>
      </c>
      <c r="E16" s="1">
        <v>0.0</v>
      </c>
      <c r="F16" s="20">
        <f t="shared" si="1"/>
        <v>0.09564635064</v>
      </c>
      <c r="G16" s="6">
        <f t="shared" si="2"/>
        <v>0</v>
      </c>
      <c r="I16" s="6">
        <f t="shared" si="3"/>
        <v>0</v>
      </c>
      <c r="J16" s="50">
        <f t="shared" si="4"/>
        <v>0.3825854026</v>
      </c>
      <c r="K16" s="20">
        <f t="shared" si="5"/>
        <v>0.09564635064</v>
      </c>
    </row>
    <row r="17">
      <c r="A17" s="1" t="s">
        <v>95</v>
      </c>
      <c r="D17" s="48">
        <v>0.0625</v>
      </c>
      <c r="E17" s="1">
        <v>0.0</v>
      </c>
      <c r="F17" s="20">
        <f t="shared" si="1"/>
        <v>0.09564635064</v>
      </c>
      <c r="G17" s="6">
        <f t="shared" si="2"/>
        <v>0</v>
      </c>
      <c r="I17" s="6">
        <f t="shared" si="3"/>
        <v>0</v>
      </c>
      <c r="J17" s="50">
        <f t="shared" si="4"/>
        <v>0.3825854026</v>
      </c>
      <c r="K17" s="20">
        <f t="shared" si="5"/>
        <v>0.09564635064</v>
      </c>
    </row>
    <row r="18">
      <c r="A18" s="20">
        <f>'Preliminary Calc'!B45</f>
        <v>0.09564635064</v>
      </c>
      <c r="D18" s="48">
        <v>0.07291666666666667</v>
      </c>
      <c r="E18" s="1">
        <v>0.0</v>
      </c>
      <c r="F18" s="20">
        <f t="shared" si="1"/>
        <v>0.09564635064</v>
      </c>
      <c r="G18" s="6">
        <f t="shared" si="2"/>
        <v>0</v>
      </c>
      <c r="I18" s="6">
        <f t="shared" si="3"/>
        <v>0</v>
      </c>
      <c r="J18" s="50">
        <f t="shared" si="4"/>
        <v>0.3825854026</v>
      </c>
      <c r="K18" s="20">
        <f t="shared" si="5"/>
        <v>0.09564635064</v>
      </c>
    </row>
    <row r="19">
      <c r="D19" s="48">
        <v>0.08333333333333333</v>
      </c>
      <c r="E19" s="1">
        <v>0.0</v>
      </c>
      <c r="F19" s="20">
        <f t="shared" si="1"/>
        <v>0.09564635064</v>
      </c>
      <c r="G19" s="6">
        <f t="shared" si="2"/>
        <v>0</v>
      </c>
      <c r="I19" s="6">
        <f t="shared" si="3"/>
        <v>0</v>
      </c>
      <c r="J19" s="50">
        <f t="shared" si="4"/>
        <v>0.3825854026</v>
      </c>
      <c r="K19" s="20">
        <f t="shared" si="5"/>
        <v>0.09564635064</v>
      </c>
    </row>
    <row r="20">
      <c r="A20" s="1" t="s">
        <v>96</v>
      </c>
      <c r="D20" s="48">
        <v>0.09375</v>
      </c>
      <c r="E20" s="1">
        <v>0.0</v>
      </c>
      <c r="F20" s="20">
        <f t="shared" si="1"/>
        <v>0.09564635064</v>
      </c>
      <c r="G20" s="6">
        <f t="shared" si="2"/>
        <v>0</v>
      </c>
      <c r="I20" s="6">
        <f t="shared" si="3"/>
        <v>0</v>
      </c>
      <c r="J20" s="50">
        <f t="shared" si="4"/>
        <v>0.3825854026</v>
      </c>
      <c r="K20" s="20">
        <f t="shared" si="5"/>
        <v>0.09564635064</v>
      </c>
    </row>
    <row r="21">
      <c r="A21" s="50">
        <f>sum(J79:J91)</f>
        <v>820.3982265</v>
      </c>
      <c r="D21" s="48">
        <v>0.10416666666666667</v>
      </c>
      <c r="E21" s="1">
        <v>0.0</v>
      </c>
      <c r="F21" s="20">
        <f t="shared" si="1"/>
        <v>0.09564635064</v>
      </c>
      <c r="G21" s="6">
        <f t="shared" si="2"/>
        <v>0</v>
      </c>
      <c r="I21" s="6">
        <f t="shared" si="3"/>
        <v>0</v>
      </c>
      <c r="J21" s="50">
        <f t="shared" si="4"/>
        <v>0.3825854026</v>
      </c>
      <c r="K21" s="20">
        <f t="shared" si="5"/>
        <v>0.09564635064</v>
      </c>
    </row>
    <row r="22">
      <c r="D22" s="48">
        <v>0.11458333333333333</v>
      </c>
      <c r="E22" s="1">
        <v>0.0</v>
      </c>
      <c r="F22" s="20">
        <f t="shared" si="1"/>
        <v>0.09564635064</v>
      </c>
      <c r="G22" s="6">
        <f t="shared" si="2"/>
        <v>0</v>
      </c>
      <c r="I22" s="6">
        <f t="shared" si="3"/>
        <v>0</v>
      </c>
      <c r="J22" s="50">
        <f t="shared" si="4"/>
        <v>0.3825854026</v>
      </c>
      <c r="K22" s="20">
        <f t="shared" si="5"/>
        <v>0.09564635064</v>
      </c>
    </row>
    <row r="23">
      <c r="A23" s="1" t="s">
        <v>97</v>
      </c>
      <c r="D23" s="48">
        <v>0.125</v>
      </c>
      <c r="E23" s="1">
        <v>0.0</v>
      </c>
      <c r="F23" s="20">
        <f t="shared" si="1"/>
        <v>0.09564635064</v>
      </c>
      <c r="G23" s="6">
        <f t="shared" si="2"/>
        <v>0</v>
      </c>
      <c r="I23" s="6">
        <f t="shared" si="3"/>
        <v>0</v>
      </c>
      <c r="J23" s="50">
        <f t="shared" si="4"/>
        <v>0.3825854026</v>
      </c>
      <c r="K23" s="20">
        <f t="shared" si="5"/>
        <v>0.09564635064</v>
      </c>
    </row>
    <row r="24">
      <c r="A24" s="6">
        <f>'Preliminary Calc'!E56</f>
        <v>0.1992429887</v>
      </c>
      <c r="D24" s="48">
        <v>0.13541666666666666</v>
      </c>
      <c r="E24" s="1">
        <v>0.0</v>
      </c>
      <c r="F24" s="20">
        <f t="shared" si="1"/>
        <v>0.09564635064</v>
      </c>
      <c r="G24" s="6">
        <f t="shared" si="2"/>
        <v>0</v>
      </c>
      <c r="I24" s="6">
        <f t="shared" si="3"/>
        <v>0</v>
      </c>
      <c r="J24" s="50">
        <f t="shared" si="4"/>
        <v>0.3825854026</v>
      </c>
      <c r="K24" s="20">
        <f t="shared" si="5"/>
        <v>0.09564635064</v>
      </c>
    </row>
    <row r="25">
      <c r="D25" s="48">
        <v>0.14583333333333334</v>
      </c>
      <c r="E25" s="1">
        <v>0.0</v>
      </c>
      <c r="F25" s="20">
        <f t="shared" si="1"/>
        <v>0.09564635064</v>
      </c>
      <c r="G25" s="6">
        <f t="shared" si="2"/>
        <v>0</v>
      </c>
      <c r="I25" s="6">
        <f t="shared" si="3"/>
        <v>0</v>
      </c>
      <c r="J25" s="50">
        <f t="shared" si="4"/>
        <v>0.3825854026</v>
      </c>
      <c r="K25" s="20">
        <f t="shared" si="5"/>
        <v>0.09564635064</v>
      </c>
    </row>
    <row r="26">
      <c r="A26" s="1" t="s">
        <v>98</v>
      </c>
      <c r="D26" s="48">
        <v>0.15625</v>
      </c>
      <c r="E26" s="1">
        <v>0.0</v>
      </c>
      <c r="F26" s="20">
        <f t="shared" si="1"/>
        <v>0.09564635064</v>
      </c>
      <c r="G26" s="6">
        <f t="shared" si="2"/>
        <v>0</v>
      </c>
      <c r="I26" s="6">
        <f t="shared" si="3"/>
        <v>0</v>
      </c>
      <c r="J26" s="50">
        <f t="shared" si="4"/>
        <v>0.3825854026</v>
      </c>
      <c r="K26" s="20">
        <f t="shared" si="5"/>
        <v>0.09564635064</v>
      </c>
    </row>
    <row r="27">
      <c r="A27" s="6">
        <f>A24*A21</f>
        <v>163.4585946</v>
      </c>
      <c r="D27" s="48">
        <v>0.16666666666666666</v>
      </c>
      <c r="E27" s="1">
        <v>0.0</v>
      </c>
      <c r="F27" s="20">
        <f t="shared" si="1"/>
        <v>0.09564635064</v>
      </c>
      <c r="G27" s="6">
        <f t="shared" si="2"/>
        <v>0</v>
      </c>
      <c r="I27" s="6">
        <f t="shared" si="3"/>
        <v>0</v>
      </c>
      <c r="J27" s="50">
        <f t="shared" si="4"/>
        <v>0.3825854026</v>
      </c>
      <c r="K27" s="20">
        <f t="shared" si="5"/>
        <v>0.09564635064</v>
      </c>
    </row>
    <row r="28">
      <c r="D28" s="48">
        <v>0.17708333333333334</v>
      </c>
      <c r="E28" s="1">
        <v>0.0</v>
      </c>
      <c r="F28" s="20">
        <f t="shared" si="1"/>
        <v>0.09564635064</v>
      </c>
      <c r="G28" s="6">
        <f t="shared" si="2"/>
        <v>0</v>
      </c>
      <c r="I28" s="6">
        <f t="shared" si="3"/>
        <v>0</v>
      </c>
      <c r="J28" s="50">
        <f t="shared" si="4"/>
        <v>0.3825854026</v>
      </c>
      <c r="K28" s="20">
        <f t="shared" si="5"/>
        <v>0.09564635064</v>
      </c>
    </row>
    <row r="29">
      <c r="A29" s="1" t="s">
        <v>99</v>
      </c>
      <c r="B29" s="37"/>
      <c r="D29" s="48">
        <v>0.1875</v>
      </c>
      <c r="E29" s="1">
        <v>0.0</v>
      </c>
      <c r="F29" s="20">
        <f t="shared" si="1"/>
        <v>0.09564635064</v>
      </c>
      <c r="G29" s="6">
        <f t="shared" si="2"/>
        <v>0</v>
      </c>
      <c r="I29" s="6">
        <f t="shared" si="3"/>
        <v>0</v>
      </c>
      <c r="J29" s="50">
        <f t="shared" si="4"/>
        <v>0.3825854026</v>
      </c>
      <c r="K29" s="20">
        <f t="shared" si="5"/>
        <v>0.09564635064</v>
      </c>
    </row>
    <row r="30">
      <c r="A30" s="6">
        <f>14*14</f>
        <v>196</v>
      </c>
      <c r="D30" s="48">
        <v>0.19791666666666666</v>
      </c>
      <c r="E30" s="1">
        <v>0.0</v>
      </c>
      <c r="F30" s="20">
        <f t="shared" si="1"/>
        <v>0.09564635064</v>
      </c>
      <c r="G30" s="6">
        <f t="shared" si="2"/>
        <v>0</v>
      </c>
      <c r="I30" s="6">
        <f t="shared" si="3"/>
        <v>0</v>
      </c>
      <c r="J30" s="50">
        <f t="shared" si="4"/>
        <v>0.3825854026</v>
      </c>
      <c r="K30" s="20">
        <f t="shared" si="5"/>
        <v>0.09564635064</v>
      </c>
    </row>
    <row r="31">
      <c r="A31" s="1" t="s">
        <v>100</v>
      </c>
      <c r="D31" s="48">
        <v>0.20833333333333334</v>
      </c>
      <c r="E31" s="1">
        <v>0.0</v>
      </c>
      <c r="F31" s="20">
        <f t="shared" si="1"/>
        <v>0.09564635064</v>
      </c>
      <c r="G31" s="6">
        <f t="shared" si="2"/>
        <v>0</v>
      </c>
      <c r="I31" s="6">
        <f t="shared" si="3"/>
        <v>0</v>
      </c>
      <c r="J31" s="50">
        <f t="shared" si="4"/>
        <v>0.3825854026</v>
      </c>
      <c r="K31" s="20">
        <f t="shared" si="5"/>
        <v>0.09564635064</v>
      </c>
    </row>
    <row r="32">
      <c r="A32" s="1">
        <v>1.0</v>
      </c>
      <c r="D32" s="48">
        <v>0.21875</v>
      </c>
      <c r="E32" s="1">
        <v>0.0</v>
      </c>
      <c r="F32" s="20">
        <f t="shared" si="1"/>
        <v>0.09564635064</v>
      </c>
      <c r="G32" s="6">
        <f t="shared" si="2"/>
        <v>0</v>
      </c>
      <c r="I32" s="6">
        <f t="shared" si="3"/>
        <v>0</v>
      </c>
      <c r="J32" s="50">
        <f t="shared" si="4"/>
        <v>0.3825854026</v>
      </c>
      <c r="K32" s="20">
        <f t="shared" si="5"/>
        <v>0.09564635064</v>
      </c>
    </row>
    <row r="33">
      <c r="A33" s="1" t="s">
        <v>101</v>
      </c>
      <c r="D33" s="48">
        <v>0.22916666666666666</v>
      </c>
      <c r="E33" s="1">
        <v>0.0</v>
      </c>
      <c r="F33" s="20">
        <f t="shared" si="1"/>
        <v>0.09564635064</v>
      </c>
      <c r="G33" s="6">
        <f t="shared" si="2"/>
        <v>0</v>
      </c>
      <c r="I33" s="6">
        <f t="shared" si="3"/>
        <v>0</v>
      </c>
      <c r="J33" s="50">
        <f t="shared" si="4"/>
        <v>0.3825854026</v>
      </c>
      <c r="K33" s="20">
        <f t="shared" si="5"/>
        <v>0.09564635064</v>
      </c>
    </row>
    <row r="34">
      <c r="A34" s="6">
        <f>A30*A32</f>
        <v>196</v>
      </c>
      <c r="D34" s="48">
        <v>0.23958333333333334</v>
      </c>
      <c r="E34" s="1">
        <v>0.0</v>
      </c>
      <c r="F34" s="20">
        <f t="shared" si="1"/>
        <v>0.09564635064</v>
      </c>
      <c r="G34" s="6">
        <f t="shared" si="2"/>
        <v>0</v>
      </c>
      <c r="I34" s="6">
        <f t="shared" si="3"/>
        <v>0</v>
      </c>
      <c r="J34" s="50">
        <f t="shared" si="4"/>
        <v>0.3825854026</v>
      </c>
      <c r="K34" s="20">
        <f t="shared" si="5"/>
        <v>0.09564635064</v>
      </c>
    </row>
    <row r="35">
      <c r="D35" s="48">
        <v>0.25</v>
      </c>
      <c r="E35" s="1">
        <v>0.0</v>
      </c>
      <c r="F35" s="20">
        <f t="shared" si="1"/>
        <v>0.09564635064</v>
      </c>
      <c r="G35" s="6">
        <f t="shared" si="2"/>
        <v>0</v>
      </c>
      <c r="I35" s="6">
        <f t="shared" si="3"/>
        <v>0</v>
      </c>
      <c r="J35" s="50">
        <f t="shared" si="4"/>
        <v>0.3825854026</v>
      </c>
      <c r="K35" s="20">
        <f t="shared" si="5"/>
        <v>0.09564635064</v>
      </c>
    </row>
    <row r="36">
      <c r="A36" s="1" t="s">
        <v>102</v>
      </c>
      <c r="D36" s="48">
        <v>0.2604166666666667</v>
      </c>
      <c r="E36" s="1">
        <v>0.0</v>
      </c>
      <c r="F36" s="20">
        <f t="shared" si="1"/>
        <v>0.09564635064</v>
      </c>
      <c r="G36" s="6">
        <f t="shared" si="2"/>
        <v>0</v>
      </c>
      <c r="I36" s="6">
        <f t="shared" si="3"/>
        <v>0</v>
      </c>
      <c r="J36" s="50">
        <f t="shared" si="4"/>
        <v>0.3825854026</v>
      </c>
      <c r="K36" s="20">
        <f t="shared" si="5"/>
        <v>0.09564635064</v>
      </c>
    </row>
    <row r="37">
      <c r="A37" s="6">
        <f>A27/A34</f>
        <v>0.8339724213</v>
      </c>
      <c r="D37" s="48">
        <v>0.2708333333333333</v>
      </c>
      <c r="E37" s="1">
        <v>0.0</v>
      </c>
      <c r="F37" s="20">
        <f t="shared" si="1"/>
        <v>0.09564635064</v>
      </c>
      <c r="G37" s="6">
        <f t="shared" si="2"/>
        <v>0</v>
      </c>
      <c r="I37" s="6">
        <f t="shared" si="3"/>
        <v>0</v>
      </c>
      <c r="J37" s="50">
        <f t="shared" si="4"/>
        <v>0.3825854026</v>
      </c>
      <c r="K37" s="20">
        <f t="shared" si="5"/>
        <v>0.09564635064</v>
      </c>
    </row>
    <row r="38">
      <c r="D38" s="48">
        <v>0.28125</v>
      </c>
      <c r="E38" s="1">
        <v>0.0</v>
      </c>
      <c r="F38" s="20">
        <f t="shared" si="1"/>
        <v>0.09564635064</v>
      </c>
      <c r="G38" s="6">
        <f t="shared" si="2"/>
        <v>0</v>
      </c>
      <c r="I38" s="6">
        <f t="shared" si="3"/>
        <v>0</v>
      </c>
      <c r="J38" s="50">
        <f t="shared" si="4"/>
        <v>0.3825854026</v>
      </c>
      <c r="K38" s="20">
        <f t="shared" si="5"/>
        <v>0.09564635064</v>
      </c>
    </row>
    <row r="39">
      <c r="D39" s="48">
        <v>0.2916666666666667</v>
      </c>
      <c r="E39" s="1">
        <v>0.0</v>
      </c>
      <c r="F39" s="20">
        <f t="shared" si="1"/>
        <v>0.09564635064</v>
      </c>
      <c r="G39" s="6">
        <f t="shared" si="2"/>
        <v>0</v>
      </c>
      <c r="I39" s="6">
        <f t="shared" si="3"/>
        <v>0</v>
      </c>
      <c r="J39" s="50">
        <f t="shared" si="4"/>
        <v>0.3825854026</v>
      </c>
      <c r="K39" s="20">
        <f t="shared" si="5"/>
        <v>0.09564635064</v>
      </c>
    </row>
    <row r="40">
      <c r="D40" s="48">
        <v>0.3020833333333333</v>
      </c>
      <c r="E40" s="1">
        <v>0.0</v>
      </c>
      <c r="F40" s="20">
        <f t="shared" si="1"/>
        <v>0.09564635064</v>
      </c>
      <c r="G40" s="6">
        <f t="shared" si="2"/>
        <v>0</v>
      </c>
      <c r="I40" s="6">
        <f t="shared" si="3"/>
        <v>0</v>
      </c>
      <c r="J40" s="50">
        <f t="shared" si="4"/>
        <v>0.3825854026</v>
      </c>
      <c r="K40" s="20">
        <f t="shared" si="5"/>
        <v>0.09564635064</v>
      </c>
    </row>
    <row r="41">
      <c r="D41" s="48">
        <v>0.3125</v>
      </c>
      <c r="E41" s="1">
        <v>0.0</v>
      </c>
      <c r="F41" s="20">
        <f t="shared" si="1"/>
        <v>0.09564635064</v>
      </c>
      <c r="G41" s="6">
        <f t="shared" si="2"/>
        <v>0</v>
      </c>
      <c r="I41" s="6">
        <f t="shared" si="3"/>
        <v>0</v>
      </c>
      <c r="J41" s="50">
        <f t="shared" si="4"/>
        <v>0.3825854026</v>
      </c>
      <c r="K41" s="20">
        <f t="shared" si="5"/>
        <v>0.09564635064</v>
      </c>
    </row>
    <row r="42">
      <c r="D42" s="48">
        <v>0.3229166666666667</v>
      </c>
      <c r="E42" s="1">
        <v>0.0</v>
      </c>
      <c r="F42" s="20">
        <f t="shared" si="1"/>
        <v>0.09564635064</v>
      </c>
      <c r="G42" s="6">
        <f t="shared" si="2"/>
        <v>0</v>
      </c>
      <c r="I42" s="6">
        <f t="shared" si="3"/>
        <v>0</v>
      </c>
      <c r="J42" s="50">
        <f t="shared" si="4"/>
        <v>0.3825854026</v>
      </c>
      <c r="K42" s="20">
        <f t="shared" si="5"/>
        <v>0.09564635064</v>
      </c>
    </row>
    <row r="43">
      <c r="D43" s="48">
        <v>0.3333333333333333</v>
      </c>
      <c r="E43" s="1">
        <v>0.0</v>
      </c>
      <c r="F43" s="20">
        <f t="shared" si="1"/>
        <v>0.09564635064</v>
      </c>
      <c r="G43" s="6">
        <f t="shared" si="2"/>
        <v>0</v>
      </c>
      <c r="H43" s="1">
        <v>1.0</v>
      </c>
      <c r="I43" s="6">
        <f t="shared" si="3"/>
        <v>27.09793843</v>
      </c>
      <c r="J43" s="50">
        <f t="shared" si="4"/>
        <v>27.48052383</v>
      </c>
      <c r="K43" s="20">
        <f t="shared" si="5"/>
        <v>0.1257551711</v>
      </c>
    </row>
    <row r="44">
      <c r="D44" s="48">
        <v>0.34375</v>
      </c>
      <c r="E44" s="1">
        <v>0.0</v>
      </c>
      <c r="F44" s="20">
        <f t="shared" si="1"/>
        <v>0.09564635064</v>
      </c>
      <c r="G44" s="6">
        <f t="shared" si="2"/>
        <v>0</v>
      </c>
      <c r="I44" s="6">
        <f t="shared" si="3"/>
        <v>0</v>
      </c>
      <c r="J44" s="50">
        <f t="shared" si="4"/>
        <v>0.3825854026</v>
      </c>
      <c r="K44" s="20">
        <f t="shared" si="5"/>
        <v>0.09564635064</v>
      </c>
    </row>
    <row r="45">
      <c r="D45" s="48">
        <v>0.3541666666666667</v>
      </c>
      <c r="E45" s="1">
        <v>0.0</v>
      </c>
      <c r="F45" s="20">
        <f t="shared" si="1"/>
        <v>0.09564635064</v>
      </c>
      <c r="G45" s="6">
        <f t="shared" si="2"/>
        <v>0</v>
      </c>
      <c r="I45" s="6">
        <f t="shared" si="3"/>
        <v>0</v>
      </c>
      <c r="J45" s="50">
        <f t="shared" si="4"/>
        <v>0.3825854026</v>
      </c>
      <c r="K45" s="20">
        <f t="shared" si="5"/>
        <v>0.09564635064</v>
      </c>
    </row>
    <row r="46">
      <c r="D46" s="48">
        <v>0.3645833333333333</v>
      </c>
      <c r="E46" s="1">
        <v>0.0</v>
      </c>
      <c r="F46" s="20">
        <f t="shared" si="1"/>
        <v>0.09564635064</v>
      </c>
      <c r="G46" s="6">
        <f t="shared" si="2"/>
        <v>0</v>
      </c>
      <c r="I46" s="6">
        <f t="shared" si="3"/>
        <v>0</v>
      </c>
      <c r="J46" s="50">
        <f t="shared" si="4"/>
        <v>0.3825854026</v>
      </c>
      <c r="K46" s="20">
        <f t="shared" si="5"/>
        <v>0.09564635064</v>
      </c>
    </row>
    <row r="47">
      <c r="D47" s="48">
        <v>0.375</v>
      </c>
      <c r="E47" s="1">
        <v>0.0</v>
      </c>
      <c r="F47" s="20">
        <f t="shared" si="1"/>
        <v>0.09564635064</v>
      </c>
      <c r="G47" s="6">
        <f t="shared" si="2"/>
        <v>0</v>
      </c>
      <c r="I47" s="6">
        <f t="shared" si="3"/>
        <v>0</v>
      </c>
      <c r="J47" s="50">
        <f t="shared" si="4"/>
        <v>0.3825854026</v>
      </c>
      <c r="K47" s="20">
        <f t="shared" si="5"/>
        <v>0.09564635064</v>
      </c>
    </row>
    <row r="48">
      <c r="D48" s="48">
        <v>0.3854166666666667</v>
      </c>
      <c r="E48" s="1">
        <v>0.0</v>
      </c>
      <c r="F48" s="20">
        <f t="shared" si="1"/>
        <v>0.09564635064</v>
      </c>
      <c r="G48" s="6">
        <f t="shared" si="2"/>
        <v>0</v>
      </c>
      <c r="I48" s="6">
        <f t="shared" si="3"/>
        <v>0</v>
      </c>
      <c r="J48" s="50">
        <f t="shared" si="4"/>
        <v>0.3825854026</v>
      </c>
      <c r="K48" s="20">
        <f t="shared" si="5"/>
        <v>0.09564635064</v>
      </c>
    </row>
    <row r="49">
      <c r="D49" s="48">
        <v>0.3958333333333333</v>
      </c>
      <c r="E49" s="1">
        <v>0.0</v>
      </c>
      <c r="F49" s="20">
        <f t="shared" si="1"/>
        <v>0.09564635064</v>
      </c>
      <c r="G49" s="6">
        <f t="shared" si="2"/>
        <v>0</v>
      </c>
      <c r="I49" s="6">
        <f t="shared" si="3"/>
        <v>0</v>
      </c>
      <c r="J49" s="50">
        <f t="shared" si="4"/>
        <v>0.3825854026</v>
      </c>
      <c r="K49" s="20">
        <f t="shared" si="5"/>
        <v>0.09564635064</v>
      </c>
    </row>
    <row r="50">
      <c r="D50" s="48">
        <v>0.40625</v>
      </c>
      <c r="E50" s="1">
        <v>0.0</v>
      </c>
      <c r="F50" s="20">
        <f t="shared" si="1"/>
        <v>0.09564635064</v>
      </c>
      <c r="G50" s="6">
        <f t="shared" si="2"/>
        <v>0</v>
      </c>
      <c r="I50" s="6">
        <f t="shared" si="3"/>
        <v>0</v>
      </c>
      <c r="J50" s="50">
        <f t="shared" si="4"/>
        <v>0.3825854026</v>
      </c>
      <c r="K50" s="20">
        <f t="shared" si="5"/>
        <v>0.09564635064</v>
      </c>
    </row>
    <row r="51">
      <c r="D51" s="48">
        <v>0.4166666666666667</v>
      </c>
      <c r="E51" s="1">
        <v>0.0</v>
      </c>
      <c r="F51" s="20">
        <f t="shared" si="1"/>
        <v>0.09564635064</v>
      </c>
      <c r="G51" s="6">
        <f t="shared" si="2"/>
        <v>0</v>
      </c>
      <c r="H51" s="1">
        <v>1.0</v>
      </c>
      <c r="I51" s="6">
        <f t="shared" si="3"/>
        <v>27.09793843</v>
      </c>
      <c r="J51" s="50">
        <f t="shared" si="4"/>
        <v>27.48052383</v>
      </c>
      <c r="K51" s="20">
        <f t="shared" si="5"/>
        <v>0.1257551711</v>
      </c>
    </row>
    <row r="52">
      <c r="D52" s="48">
        <v>0.4270833333333333</v>
      </c>
      <c r="E52" s="1">
        <v>0.0</v>
      </c>
      <c r="F52" s="20">
        <f t="shared" si="1"/>
        <v>0.09564635064</v>
      </c>
      <c r="G52" s="6">
        <f t="shared" si="2"/>
        <v>0</v>
      </c>
      <c r="I52" s="6">
        <f t="shared" si="3"/>
        <v>0</v>
      </c>
      <c r="J52" s="50">
        <f t="shared" si="4"/>
        <v>0.3825854026</v>
      </c>
      <c r="K52" s="20">
        <f t="shared" si="5"/>
        <v>0.09564635064</v>
      </c>
    </row>
    <row r="53">
      <c r="D53" s="48">
        <v>0.4375</v>
      </c>
      <c r="E53" s="1">
        <v>0.0</v>
      </c>
      <c r="F53" s="20">
        <f t="shared" si="1"/>
        <v>0.09564635064</v>
      </c>
      <c r="G53" s="6">
        <f t="shared" si="2"/>
        <v>0</v>
      </c>
      <c r="I53" s="6">
        <f t="shared" si="3"/>
        <v>0</v>
      </c>
      <c r="J53" s="50">
        <f t="shared" si="4"/>
        <v>0.3825854026</v>
      </c>
      <c r="K53" s="20">
        <f t="shared" si="5"/>
        <v>0.09564635064</v>
      </c>
    </row>
    <row r="54">
      <c r="D54" s="48">
        <v>0.4479166666666667</v>
      </c>
      <c r="E54" s="1">
        <v>0.0</v>
      </c>
      <c r="F54" s="20">
        <f t="shared" si="1"/>
        <v>0.09564635064</v>
      </c>
      <c r="G54" s="6">
        <f t="shared" si="2"/>
        <v>0</v>
      </c>
      <c r="I54" s="6">
        <f t="shared" si="3"/>
        <v>0</v>
      </c>
      <c r="J54" s="50">
        <f t="shared" si="4"/>
        <v>0.3825854026</v>
      </c>
      <c r="K54" s="20">
        <f t="shared" si="5"/>
        <v>0.09564635064</v>
      </c>
    </row>
    <row r="55">
      <c r="D55" s="48">
        <v>0.4583333333333333</v>
      </c>
      <c r="E55" s="1">
        <v>0.0</v>
      </c>
      <c r="F55" s="20">
        <f t="shared" si="1"/>
        <v>0.09564635064</v>
      </c>
      <c r="G55" s="6">
        <f t="shared" si="2"/>
        <v>0</v>
      </c>
      <c r="I55" s="6">
        <f t="shared" si="3"/>
        <v>0</v>
      </c>
      <c r="J55" s="50">
        <f t="shared" si="4"/>
        <v>0.3825854026</v>
      </c>
      <c r="K55" s="20">
        <f t="shared" si="5"/>
        <v>0.09564635064</v>
      </c>
    </row>
    <row r="56">
      <c r="D56" s="48">
        <v>0.46875</v>
      </c>
      <c r="E56" s="1">
        <v>0.0</v>
      </c>
      <c r="F56" s="20">
        <f t="shared" si="1"/>
        <v>0.09564635064</v>
      </c>
      <c r="G56" s="6">
        <f t="shared" si="2"/>
        <v>0</v>
      </c>
      <c r="I56" s="6">
        <f t="shared" si="3"/>
        <v>0</v>
      </c>
      <c r="J56" s="50">
        <f t="shared" si="4"/>
        <v>0.3825854026</v>
      </c>
      <c r="K56" s="20">
        <f t="shared" si="5"/>
        <v>0.09564635064</v>
      </c>
    </row>
    <row r="57">
      <c r="D57" s="48">
        <v>0.4791666666666667</v>
      </c>
      <c r="E57" s="1">
        <v>0.0</v>
      </c>
      <c r="F57" s="20">
        <f t="shared" si="1"/>
        <v>0.09564635064</v>
      </c>
      <c r="G57" s="6">
        <f t="shared" si="2"/>
        <v>0</v>
      </c>
      <c r="I57" s="6">
        <f t="shared" si="3"/>
        <v>0</v>
      </c>
      <c r="J57" s="50">
        <f t="shared" si="4"/>
        <v>0.3825854026</v>
      </c>
      <c r="K57" s="20">
        <f t="shared" si="5"/>
        <v>0.09564635064</v>
      </c>
    </row>
    <row r="58">
      <c r="D58" s="48">
        <v>0.4895833333333333</v>
      </c>
      <c r="E58" s="1">
        <v>0.0</v>
      </c>
      <c r="F58" s="20">
        <f t="shared" si="1"/>
        <v>0.09564635064</v>
      </c>
      <c r="G58" s="6">
        <f t="shared" si="2"/>
        <v>0</v>
      </c>
      <c r="I58" s="6">
        <f t="shared" si="3"/>
        <v>0</v>
      </c>
      <c r="J58" s="50">
        <f t="shared" si="4"/>
        <v>0.3825854026</v>
      </c>
      <c r="K58" s="20">
        <f t="shared" si="5"/>
        <v>0.09564635064</v>
      </c>
    </row>
    <row r="59">
      <c r="D59" s="48">
        <v>0.5</v>
      </c>
      <c r="E59" s="1">
        <v>1.0</v>
      </c>
      <c r="F59" s="20">
        <f t="shared" si="1"/>
        <v>0.09564635064</v>
      </c>
      <c r="G59" s="20">
        <f t="shared" si="2"/>
        <v>0.04781660453</v>
      </c>
      <c r="H59" s="1">
        <v>5.0</v>
      </c>
      <c r="I59" s="6">
        <f t="shared" si="3"/>
        <v>135.4896921</v>
      </c>
      <c r="J59" s="50">
        <f t="shared" si="4"/>
        <v>136.063544</v>
      </c>
      <c r="K59" s="20">
        <f t="shared" si="5"/>
        <v>0.2940070575</v>
      </c>
    </row>
    <row r="60">
      <c r="D60" s="48">
        <v>0.5104166666666666</v>
      </c>
      <c r="E60" s="1">
        <v>1.0</v>
      </c>
      <c r="F60" s="20">
        <f t="shared" si="1"/>
        <v>0.09564635064</v>
      </c>
      <c r="G60" s="20">
        <f t="shared" si="2"/>
        <v>0.04781660453</v>
      </c>
      <c r="I60" s="6">
        <f t="shared" si="3"/>
        <v>0</v>
      </c>
      <c r="J60" s="50">
        <f t="shared" si="4"/>
        <v>0.5738518207</v>
      </c>
      <c r="K60" s="20">
        <f t="shared" si="5"/>
        <v>0.1434629552</v>
      </c>
    </row>
    <row r="61">
      <c r="D61" s="48">
        <v>0.5208333333333334</v>
      </c>
      <c r="E61" s="1">
        <v>1.0</v>
      </c>
      <c r="F61" s="20">
        <f t="shared" si="1"/>
        <v>0.09564635064</v>
      </c>
      <c r="G61" s="20">
        <f t="shared" si="2"/>
        <v>0.04781660453</v>
      </c>
      <c r="I61" s="6">
        <f t="shared" si="3"/>
        <v>0</v>
      </c>
      <c r="J61" s="50">
        <f t="shared" si="4"/>
        <v>0.5738518207</v>
      </c>
      <c r="K61" s="20">
        <f t="shared" si="5"/>
        <v>0.1434629552</v>
      </c>
    </row>
    <row r="62">
      <c r="D62" s="48">
        <v>0.53125</v>
      </c>
      <c r="E62" s="1">
        <v>1.0</v>
      </c>
      <c r="F62" s="20">
        <f t="shared" si="1"/>
        <v>0.09564635064</v>
      </c>
      <c r="G62" s="20">
        <f t="shared" si="2"/>
        <v>0.04781660453</v>
      </c>
      <c r="I62" s="6">
        <f t="shared" si="3"/>
        <v>0</v>
      </c>
      <c r="J62" s="50">
        <f t="shared" si="4"/>
        <v>0.5738518207</v>
      </c>
      <c r="K62" s="20">
        <f t="shared" si="5"/>
        <v>0.1434629552</v>
      </c>
    </row>
    <row r="63">
      <c r="D63" s="48">
        <v>0.5416666666666666</v>
      </c>
      <c r="E63" s="1">
        <v>1.0</v>
      </c>
      <c r="F63" s="20">
        <f t="shared" si="1"/>
        <v>0.09564635064</v>
      </c>
      <c r="G63" s="20">
        <f t="shared" si="2"/>
        <v>0.04781660453</v>
      </c>
      <c r="I63" s="6">
        <f t="shared" si="3"/>
        <v>0</v>
      </c>
      <c r="J63" s="50">
        <f t="shared" si="4"/>
        <v>0.5738518207</v>
      </c>
      <c r="K63" s="20">
        <f t="shared" si="5"/>
        <v>0.1434629552</v>
      </c>
    </row>
    <row r="64">
      <c r="D64" s="48">
        <v>0.5520833333333334</v>
      </c>
      <c r="E64" s="1">
        <v>1.0</v>
      </c>
      <c r="F64" s="20">
        <f t="shared" si="1"/>
        <v>0.09564635064</v>
      </c>
      <c r="G64" s="20">
        <f t="shared" si="2"/>
        <v>0.04781660453</v>
      </c>
      <c r="I64" s="6">
        <f t="shared" si="3"/>
        <v>0</v>
      </c>
      <c r="J64" s="50">
        <f t="shared" si="4"/>
        <v>0.5738518207</v>
      </c>
      <c r="K64" s="20">
        <f t="shared" si="5"/>
        <v>0.1434629552</v>
      </c>
    </row>
    <row r="65">
      <c r="D65" s="48">
        <v>0.5625</v>
      </c>
      <c r="E65" s="1">
        <v>1.0</v>
      </c>
      <c r="F65" s="20">
        <f t="shared" si="1"/>
        <v>0.09564635064</v>
      </c>
      <c r="G65" s="20">
        <f t="shared" si="2"/>
        <v>0.04781660453</v>
      </c>
      <c r="H65" s="1">
        <v>1.0</v>
      </c>
      <c r="I65" s="6">
        <f t="shared" si="3"/>
        <v>27.09793843</v>
      </c>
      <c r="J65" s="50">
        <f t="shared" si="4"/>
        <v>27.67179025</v>
      </c>
      <c r="K65" s="20">
        <f t="shared" si="5"/>
        <v>0.1735717756</v>
      </c>
    </row>
    <row r="66">
      <c r="D66" s="48">
        <v>0.5729166666666666</v>
      </c>
      <c r="E66" s="1">
        <v>1.0</v>
      </c>
      <c r="F66" s="20">
        <f t="shared" si="1"/>
        <v>0.09564635064</v>
      </c>
      <c r="G66" s="20">
        <f t="shared" si="2"/>
        <v>0.04781660453</v>
      </c>
      <c r="I66" s="6">
        <f t="shared" si="3"/>
        <v>0</v>
      </c>
      <c r="J66" s="50">
        <f t="shared" si="4"/>
        <v>0.5738518207</v>
      </c>
      <c r="K66" s="20">
        <f t="shared" si="5"/>
        <v>0.1434629552</v>
      </c>
    </row>
    <row r="67">
      <c r="D67" s="48">
        <v>0.5833333333333334</v>
      </c>
      <c r="E67" s="1">
        <v>1.0</v>
      </c>
      <c r="F67" s="20">
        <f t="shared" si="1"/>
        <v>0.09564635064</v>
      </c>
      <c r="G67" s="20">
        <f t="shared" si="2"/>
        <v>0.04781660453</v>
      </c>
      <c r="I67" s="6">
        <f t="shared" si="3"/>
        <v>0</v>
      </c>
      <c r="J67" s="50">
        <f t="shared" si="4"/>
        <v>0.5738518207</v>
      </c>
      <c r="K67" s="20">
        <f t="shared" si="5"/>
        <v>0.1434629552</v>
      </c>
    </row>
    <row r="68">
      <c r="D68" s="48">
        <v>0.59375</v>
      </c>
      <c r="E68" s="1">
        <v>1.0</v>
      </c>
      <c r="F68" s="20">
        <f t="shared" si="1"/>
        <v>0.09564635064</v>
      </c>
      <c r="G68" s="20">
        <f t="shared" si="2"/>
        <v>0.04781660453</v>
      </c>
      <c r="I68" s="6">
        <f t="shared" si="3"/>
        <v>0</v>
      </c>
      <c r="J68" s="50">
        <f t="shared" si="4"/>
        <v>0.5738518207</v>
      </c>
      <c r="K68" s="20">
        <f t="shared" si="5"/>
        <v>0.1434629552</v>
      </c>
    </row>
    <row r="69">
      <c r="D69" s="48">
        <v>0.6041666666666666</v>
      </c>
      <c r="E69" s="1">
        <v>1.0</v>
      </c>
      <c r="F69" s="20">
        <f t="shared" si="1"/>
        <v>0.09564635064</v>
      </c>
      <c r="G69" s="20">
        <f t="shared" si="2"/>
        <v>0.04781660453</v>
      </c>
      <c r="I69" s="6">
        <f t="shared" si="3"/>
        <v>0</v>
      </c>
      <c r="J69" s="50">
        <f t="shared" si="4"/>
        <v>0.5738518207</v>
      </c>
      <c r="K69" s="20">
        <f t="shared" si="5"/>
        <v>0.1434629552</v>
      </c>
    </row>
    <row r="70">
      <c r="D70" s="48">
        <v>0.6145833333333334</v>
      </c>
      <c r="E70" s="1">
        <v>1.0</v>
      </c>
      <c r="F70" s="20">
        <f t="shared" si="1"/>
        <v>0.09564635064</v>
      </c>
      <c r="G70" s="20">
        <f t="shared" si="2"/>
        <v>0.04781660453</v>
      </c>
      <c r="I70" s="6">
        <f t="shared" si="3"/>
        <v>0</v>
      </c>
      <c r="J70" s="50">
        <f t="shared" si="4"/>
        <v>0.5738518207</v>
      </c>
      <c r="K70" s="20">
        <f t="shared" si="5"/>
        <v>0.1434629552</v>
      </c>
    </row>
    <row r="71">
      <c r="D71" s="48">
        <v>0.625</v>
      </c>
      <c r="E71" s="1">
        <v>1.0</v>
      </c>
      <c r="F71" s="20">
        <f t="shared" si="1"/>
        <v>0.09564635064</v>
      </c>
      <c r="G71" s="20">
        <f t="shared" si="2"/>
        <v>0.04781660453</v>
      </c>
      <c r="H71" s="1">
        <v>1.0</v>
      </c>
      <c r="I71" s="6">
        <f t="shared" si="3"/>
        <v>27.09793843</v>
      </c>
      <c r="J71" s="50">
        <f t="shared" si="4"/>
        <v>27.67179025</v>
      </c>
      <c r="K71" s="20">
        <f t="shared" si="5"/>
        <v>0.1735717756</v>
      </c>
    </row>
    <row r="72">
      <c r="D72" s="48">
        <v>0.6354166666666666</v>
      </c>
      <c r="E72" s="1">
        <v>1.0</v>
      </c>
      <c r="F72" s="20">
        <f t="shared" si="1"/>
        <v>0.09564635064</v>
      </c>
      <c r="G72" s="20">
        <f t="shared" si="2"/>
        <v>0.04781660453</v>
      </c>
      <c r="I72" s="6">
        <f t="shared" si="3"/>
        <v>0</v>
      </c>
      <c r="J72" s="50">
        <f t="shared" si="4"/>
        <v>0.5738518207</v>
      </c>
      <c r="K72" s="20">
        <f t="shared" si="5"/>
        <v>0.1434629552</v>
      </c>
    </row>
    <row r="73">
      <c r="D73" s="48">
        <v>0.6458333333333334</v>
      </c>
      <c r="E73" s="1">
        <v>1.0</v>
      </c>
      <c r="F73" s="20">
        <f t="shared" si="1"/>
        <v>0.09564635064</v>
      </c>
      <c r="G73" s="20">
        <f t="shared" si="2"/>
        <v>0.04781660453</v>
      </c>
      <c r="I73" s="6">
        <f t="shared" si="3"/>
        <v>0</v>
      </c>
      <c r="J73" s="50">
        <f t="shared" si="4"/>
        <v>0.5738518207</v>
      </c>
      <c r="K73" s="20">
        <f t="shared" si="5"/>
        <v>0.1434629552</v>
      </c>
    </row>
    <row r="74">
      <c r="D74" s="48">
        <v>0.65625</v>
      </c>
      <c r="E74" s="1">
        <v>1.0</v>
      </c>
      <c r="F74" s="20">
        <f t="shared" si="1"/>
        <v>0.09564635064</v>
      </c>
      <c r="G74" s="20">
        <f t="shared" si="2"/>
        <v>0.04781660453</v>
      </c>
      <c r="I74" s="6">
        <f t="shared" si="3"/>
        <v>0</v>
      </c>
      <c r="J74" s="50">
        <f t="shared" si="4"/>
        <v>0.5738518207</v>
      </c>
      <c r="K74" s="20">
        <f t="shared" si="5"/>
        <v>0.1434629552</v>
      </c>
    </row>
    <row r="75">
      <c r="D75" s="48">
        <v>0.6666666666666666</v>
      </c>
      <c r="E75" s="1">
        <v>1.0</v>
      </c>
      <c r="F75" s="20">
        <f t="shared" si="1"/>
        <v>0.09564635064</v>
      </c>
      <c r="G75" s="20">
        <f t="shared" si="2"/>
        <v>0.04781660453</v>
      </c>
      <c r="I75" s="6">
        <f t="shared" si="3"/>
        <v>0</v>
      </c>
      <c r="J75" s="50">
        <f t="shared" si="4"/>
        <v>0.5738518207</v>
      </c>
      <c r="K75" s="20">
        <f t="shared" si="5"/>
        <v>0.1434629552</v>
      </c>
    </row>
    <row r="76">
      <c r="D76" s="48">
        <v>0.6770833333333334</v>
      </c>
      <c r="E76" s="1">
        <v>1.0</v>
      </c>
      <c r="F76" s="20">
        <f t="shared" si="1"/>
        <v>0.09564635064</v>
      </c>
      <c r="G76" s="20">
        <f t="shared" si="2"/>
        <v>0.04781660453</v>
      </c>
      <c r="I76" s="6">
        <f t="shared" si="3"/>
        <v>0</v>
      </c>
      <c r="J76" s="50">
        <f t="shared" si="4"/>
        <v>0.5738518207</v>
      </c>
      <c r="K76" s="20">
        <f t="shared" si="5"/>
        <v>0.1434629552</v>
      </c>
    </row>
    <row r="77">
      <c r="D77" s="48">
        <v>0.6875</v>
      </c>
      <c r="E77" s="1">
        <v>1.0</v>
      </c>
      <c r="F77" s="20">
        <f t="shared" si="1"/>
        <v>0.09564635064</v>
      </c>
      <c r="G77" s="20">
        <f t="shared" si="2"/>
        <v>0.04781660453</v>
      </c>
      <c r="I77" s="6">
        <f t="shared" si="3"/>
        <v>0</v>
      </c>
      <c r="J77" s="50">
        <f t="shared" si="4"/>
        <v>0.5738518207</v>
      </c>
      <c r="K77" s="20">
        <f t="shared" si="5"/>
        <v>0.1434629552</v>
      </c>
    </row>
    <row r="78">
      <c r="D78" s="48">
        <v>0.6979166666666666</v>
      </c>
      <c r="E78" s="1">
        <v>1.0</v>
      </c>
      <c r="F78" s="20">
        <f t="shared" si="1"/>
        <v>0.09564635064</v>
      </c>
      <c r="G78" s="20">
        <f t="shared" si="2"/>
        <v>0.04781660453</v>
      </c>
      <c r="I78" s="6">
        <f t="shared" si="3"/>
        <v>0</v>
      </c>
      <c r="J78" s="50">
        <f t="shared" si="4"/>
        <v>0.5738518207</v>
      </c>
      <c r="K78" s="20">
        <f t="shared" si="5"/>
        <v>0.1434629552</v>
      </c>
    </row>
    <row r="79">
      <c r="D79" s="51">
        <v>0.7083333333333334</v>
      </c>
      <c r="E79" s="1">
        <v>1.0</v>
      </c>
      <c r="F79" s="20">
        <f t="shared" si="1"/>
        <v>0.09564635064</v>
      </c>
      <c r="G79" s="20">
        <f t="shared" si="2"/>
        <v>0.04781660453</v>
      </c>
      <c r="H79" s="1">
        <v>15.0</v>
      </c>
      <c r="I79" s="6">
        <f t="shared" si="3"/>
        <v>406.4690764</v>
      </c>
      <c r="J79" s="50">
        <f t="shared" si="4"/>
        <v>407.0429282</v>
      </c>
      <c r="K79" s="20">
        <f t="shared" si="5"/>
        <v>0.5950952623</v>
      </c>
    </row>
    <row r="80">
      <c r="D80" s="51">
        <v>0.71875</v>
      </c>
      <c r="E80" s="1">
        <v>1.0</v>
      </c>
      <c r="F80" s="20">
        <f t="shared" si="1"/>
        <v>0.09564635064</v>
      </c>
      <c r="G80" s="20">
        <f t="shared" si="2"/>
        <v>0.04781660453</v>
      </c>
      <c r="I80" s="6">
        <f t="shared" si="3"/>
        <v>0</v>
      </c>
      <c r="J80" s="50">
        <f t="shared" si="4"/>
        <v>0.5738518207</v>
      </c>
      <c r="K80" s="20">
        <f t="shared" si="5"/>
        <v>0.1434629552</v>
      </c>
    </row>
    <row r="81">
      <c r="D81" s="51">
        <v>0.7291666666666666</v>
      </c>
      <c r="E81" s="1">
        <v>1.0</v>
      </c>
      <c r="F81" s="20">
        <f t="shared" si="1"/>
        <v>0.09564635064</v>
      </c>
      <c r="G81" s="20">
        <f t="shared" si="2"/>
        <v>0.04781660453</v>
      </c>
      <c r="H81" s="1">
        <v>5.0</v>
      </c>
      <c r="I81" s="6">
        <f t="shared" si="3"/>
        <v>135.4896921</v>
      </c>
      <c r="J81" s="50">
        <f t="shared" si="4"/>
        <v>136.063544</v>
      </c>
      <c r="K81" s="20">
        <f t="shared" si="5"/>
        <v>0.2940070575</v>
      </c>
    </row>
    <row r="82">
      <c r="D82" s="51">
        <v>0.7395833333333334</v>
      </c>
      <c r="E82" s="1">
        <v>1.0</v>
      </c>
      <c r="F82" s="20">
        <f t="shared" si="1"/>
        <v>0.09564635064</v>
      </c>
      <c r="G82" s="20">
        <f t="shared" si="2"/>
        <v>0.04781660453</v>
      </c>
      <c r="I82" s="6">
        <f t="shared" si="3"/>
        <v>0</v>
      </c>
      <c r="J82" s="50">
        <f t="shared" si="4"/>
        <v>0.5738518207</v>
      </c>
      <c r="K82" s="20">
        <f t="shared" si="5"/>
        <v>0.1434629552</v>
      </c>
    </row>
    <row r="83">
      <c r="D83" s="51">
        <v>0.75</v>
      </c>
      <c r="E83" s="1">
        <v>1.0</v>
      </c>
      <c r="F83" s="20">
        <f t="shared" si="1"/>
        <v>0.09564635064</v>
      </c>
      <c r="G83" s="20">
        <f t="shared" si="2"/>
        <v>0.04781660453</v>
      </c>
      <c r="I83" s="6">
        <f t="shared" si="3"/>
        <v>0</v>
      </c>
      <c r="J83" s="50">
        <f t="shared" si="4"/>
        <v>0.5738518207</v>
      </c>
      <c r="K83" s="20">
        <f t="shared" si="5"/>
        <v>0.1434629552</v>
      </c>
    </row>
    <row r="84">
      <c r="D84" s="51">
        <v>0.7604166666666666</v>
      </c>
      <c r="E84" s="1">
        <v>1.0</v>
      </c>
      <c r="F84" s="20">
        <f t="shared" si="1"/>
        <v>0.09564635064</v>
      </c>
      <c r="G84" s="20">
        <f t="shared" si="2"/>
        <v>0.04781660453</v>
      </c>
      <c r="I84" s="6">
        <f t="shared" si="3"/>
        <v>0</v>
      </c>
      <c r="J84" s="50">
        <f t="shared" si="4"/>
        <v>0.5738518207</v>
      </c>
      <c r="K84" s="20">
        <f t="shared" si="5"/>
        <v>0.1434629552</v>
      </c>
    </row>
    <row r="85">
      <c r="D85" s="51">
        <v>0.7708333333333334</v>
      </c>
      <c r="E85" s="1">
        <v>1.0</v>
      </c>
      <c r="F85" s="20">
        <f t="shared" si="1"/>
        <v>0.09564635064</v>
      </c>
      <c r="G85" s="20">
        <f t="shared" si="2"/>
        <v>0.04781660453</v>
      </c>
      <c r="H85" s="1">
        <v>5.0</v>
      </c>
      <c r="I85" s="6">
        <f t="shared" si="3"/>
        <v>135.4896921</v>
      </c>
      <c r="J85" s="50">
        <f t="shared" si="4"/>
        <v>136.063544</v>
      </c>
      <c r="K85" s="20">
        <f t="shared" si="5"/>
        <v>0.2940070575</v>
      </c>
    </row>
    <row r="86">
      <c r="D86" s="51">
        <v>0.78125</v>
      </c>
      <c r="E86" s="1">
        <v>1.0</v>
      </c>
      <c r="F86" s="20">
        <f t="shared" si="1"/>
        <v>0.09564635064</v>
      </c>
      <c r="G86" s="20">
        <f t="shared" si="2"/>
        <v>0.04781660453</v>
      </c>
      <c r="I86" s="6">
        <f t="shared" si="3"/>
        <v>0</v>
      </c>
      <c r="J86" s="50">
        <f t="shared" si="4"/>
        <v>0.5738518207</v>
      </c>
      <c r="K86" s="20">
        <f t="shared" si="5"/>
        <v>0.1434629552</v>
      </c>
    </row>
    <row r="87">
      <c r="D87" s="51">
        <v>0.7916666666666666</v>
      </c>
      <c r="E87" s="1">
        <v>1.0</v>
      </c>
      <c r="F87" s="20">
        <f t="shared" si="1"/>
        <v>0.09564635064</v>
      </c>
      <c r="G87" s="20">
        <f t="shared" si="2"/>
        <v>0.04781660453</v>
      </c>
      <c r="I87" s="6">
        <f t="shared" si="3"/>
        <v>0</v>
      </c>
      <c r="J87" s="50">
        <f t="shared" si="4"/>
        <v>0.5738518207</v>
      </c>
      <c r="K87" s="20">
        <f t="shared" si="5"/>
        <v>0.1434629552</v>
      </c>
    </row>
    <row r="88">
      <c r="D88" s="51">
        <v>0.8020833333333334</v>
      </c>
      <c r="E88" s="1">
        <v>1.0</v>
      </c>
      <c r="F88" s="20">
        <f t="shared" si="1"/>
        <v>0.09564635064</v>
      </c>
      <c r="G88" s="20">
        <f t="shared" si="2"/>
        <v>0.04781660453</v>
      </c>
      <c r="H88" s="1">
        <v>5.0</v>
      </c>
      <c r="I88" s="6">
        <f t="shared" si="3"/>
        <v>135.4896921</v>
      </c>
      <c r="J88" s="50">
        <f t="shared" si="4"/>
        <v>136.063544</v>
      </c>
      <c r="K88" s="20">
        <f t="shared" si="5"/>
        <v>0.2940070575</v>
      </c>
    </row>
    <row r="89">
      <c r="D89" s="51">
        <v>0.8125</v>
      </c>
      <c r="E89" s="1">
        <v>1.0</v>
      </c>
      <c r="F89" s="20">
        <f t="shared" si="1"/>
        <v>0.09564635064</v>
      </c>
      <c r="G89" s="20">
        <f t="shared" si="2"/>
        <v>0.04781660453</v>
      </c>
      <c r="I89" s="6">
        <f t="shared" si="3"/>
        <v>0</v>
      </c>
      <c r="J89" s="50">
        <f t="shared" si="4"/>
        <v>0.5738518207</v>
      </c>
      <c r="K89" s="20">
        <f t="shared" si="5"/>
        <v>0.1434629552</v>
      </c>
    </row>
    <row r="90">
      <c r="D90" s="51">
        <v>0.8229166666666666</v>
      </c>
      <c r="E90" s="1">
        <v>1.0</v>
      </c>
      <c r="F90" s="20">
        <f t="shared" si="1"/>
        <v>0.09564635064</v>
      </c>
      <c r="G90" s="20">
        <f t="shared" si="2"/>
        <v>0.04781660453</v>
      </c>
      <c r="I90" s="6">
        <f t="shared" si="3"/>
        <v>0</v>
      </c>
      <c r="J90" s="50">
        <f t="shared" si="4"/>
        <v>0.5738518207</v>
      </c>
      <c r="K90" s="20">
        <f t="shared" si="5"/>
        <v>0.1434629552</v>
      </c>
    </row>
    <row r="91">
      <c r="D91" s="51">
        <v>0.8333333333333334</v>
      </c>
      <c r="E91" s="1">
        <v>1.0</v>
      </c>
      <c r="F91" s="20">
        <f t="shared" si="1"/>
        <v>0.09564635064</v>
      </c>
      <c r="G91" s="20">
        <f t="shared" si="2"/>
        <v>0.04781660453</v>
      </c>
      <c r="I91" s="6">
        <f t="shared" si="3"/>
        <v>0</v>
      </c>
      <c r="J91" s="50">
        <f t="shared" si="4"/>
        <v>0.5738518207</v>
      </c>
      <c r="K91" s="20">
        <f t="shared" si="5"/>
        <v>0.1434629552</v>
      </c>
    </row>
    <row r="92">
      <c r="D92" s="48">
        <v>0.84375</v>
      </c>
      <c r="E92" s="1">
        <v>0.0</v>
      </c>
      <c r="F92" s="20">
        <f t="shared" si="1"/>
        <v>0.09564635064</v>
      </c>
      <c r="G92" s="6">
        <f t="shared" si="2"/>
        <v>0</v>
      </c>
      <c r="I92" s="6">
        <f t="shared" si="3"/>
        <v>0</v>
      </c>
      <c r="J92" s="50">
        <f t="shared" si="4"/>
        <v>0.3825854026</v>
      </c>
      <c r="K92" s="20">
        <f t="shared" si="5"/>
        <v>0.09564635064</v>
      </c>
    </row>
    <row r="93">
      <c r="D93" s="48">
        <v>0.8541666666666666</v>
      </c>
      <c r="E93" s="1">
        <v>0.0</v>
      </c>
      <c r="F93" s="20">
        <f t="shared" si="1"/>
        <v>0.09564635064</v>
      </c>
      <c r="G93" s="6">
        <f t="shared" si="2"/>
        <v>0</v>
      </c>
      <c r="I93" s="6">
        <f t="shared" si="3"/>
        <v>0</v>
      </c>
      <c r="J93" s="50">
        <f t="shared" si="4"/>
        <v>0.3825854026</v>
      </c>
      <c r="K93" s="20">
        <f t="shared" si="5"/>
        <v>0.09564635064</v>
      </c>
    </row>
    <row r="94">
      <c r="D94" s="48">
        <v>0.8645833333333334</v>
      </c>
      <c r="E94" s="1">
        <v>0.0</v>
      </c>
      <c r="F94" s="20">
        <f t="shared" si="1"/>
        <v>0.09564635064</v>
      </c>
      <c r="G94" s="6">
        <f t="shared" si="2"/>
        <v>0</v>
      </c>
      <c r="H94" s="1">
        <v>1.0</v>
      </c>
      <c r="I94" s="6">
        <f t="shared" si="3"/>
        <v>27.09793843</v>
      </c>
      <c r="J94" s="50">
        <f t="shared" si="4"/>
        <v>27.48052383</v>
      </c>
      <c r="K94" s="20">
        <f t="shared" si="5"/>
        <v>0.1257551711</v>
      </c>
    </row>
    <row r="95">
      <c r="D95" s="48">
        <v>0.875</v>
      </c>
      <c r="E95" s="1">
        <v>0.0</v>
      </c>
      <c r="F95" s="20">
        <f t="shared" si="1"/>
        <v>0.09564635064</v>
      </c>
      <c r="G95" s="6">
        <f t="shared" si="2"/>
        <v>0</v>
      </c>
      <c r="I95" s="6">
        <f t="shared" si="3"/>
        <v>0</v>
      </c>
      <c r="J95" s="50">
        <f t="shared" si="4"/>
        <v>0.3825854026</v>
      </c>
      <c r="K95" s="20">
        <f t="shared" si="5"/>
        <v>0.09564635064</v>
      </c>
    </row>
    <row r="96">
      <c r="D96" s="48">
        <v>0.8854166666666666</v>
      </c>
      <c r="E96" s="1">
        <v>0.0</v>
      </c>
      <c r="F96" s="20">
        <f t="shared" si="1"/>
        <v>0.09564635064</v>
      </c>
      <c r="G96" s="6">
        <f t="shared" si="2"/>
        <v>0</v>
      </c>
      <c r="I96" s="6">
        <f t="shared" si="3"/>
        <v>0</v>
      </c>
      <c r="J96" s="50">
        <f t="shared" si="4"/>
        <v>0.3825854026</v>
      </c>
      <c r="K96" s="20">
        <f t="shared" si="5"/>
        <v>0.09564635064</v>
      </c>
    </row>
    <row r="97">
      <c r="D97" s="48">
        <v>0.8958333333333334</v>
      </c>
      <c r="E97" s="1">
        <v>0.0</v>
      </c>
      <c r="F97" s="20">
        <f t="shared" si="1"/>
        <v>0.09564635064</v>
      </c>
      <c r="G97" s="6">
        <f t="shared" si="2"/>
        <v>0</v>
      </c>
      <c r="I97" s="6">
        <f t="shared" si="3"/>
        <v>0</v>
      </c>
      <c r="J97" s="50">
        <f t="shared" si="4"/>
        <v>0.3825854026</v>
      </c>
      <c r="K97" s="20">
        <f t="shared" si="5"/>
        <v>0.09564635064</v>
      </c>
    </row>
    <row r="98">
      <c r="D98" s="48">
        <v>0.90625</v>
      </c>
      <c r="E98" s="1">
        <v>0.0</v>
      </c>
      <c r="F98" s="20">
        <f t="shared" si="1"/>
        <v>0.09564635064</v>
      </c>
      <c r="G98" s="6">
        <f t="shared" si="2"/>
        <v>0</v>
      </c>
      <c r="I98" s="6">
        <f t="shared" si="3"/>
        <v>0</v>
      </c>
      <c r="J98" s="50">
        <f t="shared" si="4"/>
        <v>0.3825854026</v>
      </c>
      <c r="K98" s="20">
        <f t="shared" si="5"/>
        <v>0.09564635064</v>
      </c>
    </row>
    <row r="99">
      <c r="D99" s="48">
        <v>0.9166666666666666</v>
      </c>
      <c r="E99" s="1">
        <v>0.0</v>
      </c>
      <c r="F99" s="20">
        <f t="shared" si="1"/>
        <v>0.09564635064</v>
      </c>
      <c r="G99" s="6">
        <f t="shared" si="2"/>
        <v>0</v>
      </c>
      <c r="I99" s="6">
        <f t="shared" si="3"/>
        <v>0</v>
      </c>
      <c r="J99" s="50">
        <f t="shared" si="4"/>
        <v>0.3825854026</v>
      </c>
      <c r="K99" s="20">
        <f t="shared" si="5"/>
        <v>0.09564635064</v>
      </c>
    </row>
    <row r="100">
      <c r="D100" s="48">
        <v>0.9270833333333334</v>
      </c>
      <c r="E100" s="1">
        <v>0.0</v>
      </c>
      <c r="F100" s="20">
        <f t="shared" si="1"/>
        <v>0.09564635064</v>
      </c>
      <c r="G100" s="6">
        <f t="shared" si="2"/>
        <v>0</v>
      </c>
      <c r="H100" s="1">
        <v>1.0</v>
      </c>
      <c r="I100" s="6">
        <f t="shared" si="3"/>
        <v>27.09793843</v>
      </c>
      <c r="J100" s="50">
        <f t="shared" si="4"/>
        <v>27.48052383</v>
      </c>
      <c r="K100" s="20">
        <f t="shared" si="5"/>
        <v>0.1257551711</v>
      </c>
    </row>
    <row r="101">
      <c r="D101" s="48">
        <v>0.9375</v>
      </c>
      <c r="E101" s="1">
        <v>0.0</v>
      </c>
      <c r="F101" s="20">
        <f t="shared" si="1"/>
        <v>0.09564635064</v>
      </c>
      <c r="G101" s="6">
        <f t="shared" si="2"/>
        <v>0</v>
      </c>
      <c r="I101" s="6">
        <f t="shared" si="3"/>
        <v>0</v>
      </c>
      <c r="J101" s="50">
        <f t="shared" si="4"/>
        <v>0.3825854026</v>
      </c>
      <c r="K101" s="20">
        <f t="shared" si="5"/>
        <v>0.09564635064</v>
      </c>
    </row>
    <row r="102">
      <c r="D102" s="48">
        <v>0.9479166666666666</v>
      </c>
      <c r="E102" s="1">
        <v>0.0</v>
      </c>
      <c r="F102" s="20">
        <f t="shared" si="1"/>
        <v>0.09564635064</v>
      </c>
      <c r="G102" s="6">
        <f t="shared" si="2"/>
        <v>0</v>
      </c>
      <c r="I102" s="6">
        <f t="shared" si="3"/>
        <v>0</v>
      </c>
      <c r="J102" s="50">
        <f t="shared" si="4"/>
        <v>0.3825854026</v>
      </c>
      <c r="K102" s="20">
        <f t="shared" si="5"/>
        <v>0.09564635064</v>
      </c>
    </row>
    <row r="103">
      <c r="D103" s="48">
        <v>0.9583333333333334</v>
      </c>
      <c r="E103" s="1">
        <v>0.0</v>
      </c>
      <c r="F103" s="20">
        <f t="shared" si="1"/>
        <v>0.09564635064</v>
      </c>
      <c r="G103" s="6">
        <f t="shared" si="2"/>
        <v>0</v>
      </c>
      <c r="I103" s="6">
        <f t="shared" si="3"/>
        <v>0</v>
      </c>
      <c r="J103" s="50">
        <f t="shared" si="4"/>
        <v>0.3825854026</v>
      </c>
      <c r="K103" s="20">
        <f t="shared" si="5"/>
        <v>0.09564635064</v>
      </c>
    </row>
    <row r="104">
      <c r="D104" s="48">
        <v>0.96875</v>
      </c>
      <c r="E104" s="1">
        <v>0.0</v>
      </c>
      <c r="F104" s="20">
        <f t="shared" si="1"/>
        <v>0.09564635064</v>
      </c>
      <c r="G104" s="6">
        <f t="shared" si="2"/>
        <v>0</v>
      </c>
      <c r="I104" s="6">
        <f t="shared" si="3"/>
        <v>0</v>
      </c>
      <c r="J104" s="50">
        <f t="shared" si="4"/>
        <v>0.3825854026</v>
      </c>
      <c r="K104" s="20">
        <f t="shared" si="5"/>
        <v>0.09564635064</v>
      </c>
    </row>
    <row r="105">
      <c r="D105" s="48">
        <v>0.9791666666666666</v>
      </c>
      <c r="E105" s="1">
        <v>0.0</v>
      </c>
      <c r="F105" s="20">
        <f t="shared" si="1"/>
        <v>0.09564635064</v>
      </c>
      <c r="G105" s="6">
        <f t="shared" si="2"/>
        <v>0</v>
      </c>
      <c r="I105" s="6">
        <f t="shared" si="3"/>
        <v>0</v>
      </c>
      <c r="J105" s="50">
        <f t="shared" si="4"/>
        <v>0.3825854026</v>
      </c>
      <c r="K105" s="20">
        <f t="shared" si="5"/>
        <v>0.09564635064</v>
      </c>
    </row>
    <row r="106">
      <c r="D106" s="48">
        <v>0.9895833333333334</v>
      </c>
      <c r="E106" s="1">
        <v>0.0</v>
      </c>
      <c r="F106" s="20">
        <f t="shared" si="1"/>
        <v>0.09564635064</v>
      </c>
      <c r="G106" s="6">
        <f t="shared" si="2"/>
        <v>0</v>
      </c>
      <c r="I106" s="6">
        <f t="shared" si="3"/>
        <v>0</v>
      </c>
      <c r="J106" s="50">
        <f t="shared" si="4"/>
        <v>0.3825854026</v>
      </c>
      <c r="K106" s="20">
        <f t="shared" si="5"/>
        <v>0.09564635064</v>
      </c>
    </row>
    <row r="107">
      <c r="D107" s="48"/>
      <c r="J107" s="52">
        <f>SUM(J10:J106)</f>
        <v>1154.055466</v>
      </c>
      <c r="K107" s="20">
        <f t="shared" si="5"/>
        <v>0</v>
      </c>
    </row>
    <row r="108">
      <c r="D108" s="48"/>
    </row>
    <row r="109">
      <c r="D109" s="48"/>
    </row>
    <row r="110">
      <c r="D110" s="48"/>
    </row>
    <row r="111">
      <c r="D111" s="48"/>
    </row>
    <row r="112">
      <c r="D112" s="48"/>
    </row>
    <row r="113">
      <c r="D113" s="48"/>
    </row>
    <row r="114">
      <c r="D114" s="48"/>
    </row>
    <row r="115">
      <c r="D115" s="48"/>
    </row>
    <row r="116">
      <c r="D116" s="48"/>
    </row>
    <row r="117">
      <c r="D117" s="48"/>
    </row>
    <row r="118">
      <c r="D118" s="48"/>
    </row>
    <row r="119">
      <c r="D119" s="48"/>
    </row>
    <row r="120">
      <c r="D120" s="48"/>
    </row>
    <row r="121">
      <c r="D121" s="48"/>
    </row>
    <row r="122">
      <c r="D122" s="48"/>
    </row>
    <row r="123">
      <c r="D123" s="48"/>
    </row>
    <row r="124">
      <c r="D124" s="48"/>
    </row>
    <row r="125">
      <c r="D125" s="48"/>
    </row>
    <row r="126">
      <c r="D126" s="48"/>
    </row>
    <row r="127">
      <c r="D127" s="48"/>
    </row>
    <row r="128">
      <c r="D128" s="48"/>
    </row>
    <row r="129">
      <c r="D129" s="48"/>
    </row>
    <row r="130">
      <c r="D130" s="48"/>
    </row>
    <row r="131">
      <c r="D131" s="48"/>
    </row>
    <row r="132">
      <c r="D132" s="48"/>
    </row>
    <row r="133">
      <c r="D133" s="48"/>
    </row>
    <row r="134">
      <c r="D134" s="48"/>
    </row>
    <row r="135">
      <c r="D135" s="48"/>
    </row>
    <row r="136">
      <c r="D136" s="48"/>
    </row>
    <row r="137">
      <c r="D137" s="48"/>
    </row>
    <row r="138">
      <c r="D138" s="48"/>
    </row>
    <row r="139">
      <c r="D139" s="48"/>
    </row>
    <row r="140">
      <c r="D140" s="48"/>
    </row>
    <row r="141">
      <c r="D141" s="48"/>
    </row>
    <row r="142">
      <c r="D142" s="48"/>
    </row>
    <row r="143">
      <c r="D143" s="48"/>
    </row>
    <row r="144">
      <c r="D144" s="48"/>
    </row>
    <row r="145">
      <c r="D145" s="48"/>
    </row>
    <row r="146">
      <c r="D146" s="48"/>
    </row>
    <row r="147">
      <c r="D147" s="48"/>
    </row>
    <row r="148">
      <c r="D148" s="48"/>
    </row>
    <row r="149">
      <c r="D149" s="48"/>
    </row>
    <row r="150">
      <c r="D150" s="48"/>
    </row>
    <row r="151">
      <c r="D151" s="48"/>
    </row>
    <row r="152">
      <c r="D152" s="48"/>
    </row>
    <row r="153">
      <c r="D153" s="48"/>
    </row>
    <row r="154">
      <c r="D154" s="48"/>
    </row>
    <row r="155">
      <c r="D155" s="4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  <col customWidth="1" min="5" max="5" width="19.0"/>
  </cols>
  <sheetData>
    <row r="2">
      <c r="A2" s="53" t="s">
        <v>103</v>
      </c>
      <c r="B2" s="47" t="s">
        <v>104</v>
      </c>
    </row>
    <row r="4">
      <c r="B4" s="1" t="s">
        <v>105</v>
      </c>
      <c r="E4" s="1" t="s">
        <v>106</v>
      </c>
    </row>
    <row r="6">
      <c r="B6" s="1" t="s">
        <v>107</v>
      </c>
      <c r="C6" s="1" t="s">
        <v>59</v>
      </c>
      <c r="F6" s="1" t="s">
        <v>16</v>
      </c>
    </row>
    <row r="7">
      <c r="B7" s="1" t="s">
        <v>108</v>
      </c>
      <c r="C7" s="6">
        <v>334.0</v>
      </c>
      <c r="E7" s="1" t="s">
        <v>109</v>
      </c>
      <c r="F7" s="1">
        <v>4.184</v>
      </c>
      <c r="G7" s="1" t="s">
        <v>110</v>
      </c>
    </row>
    <row r="8">
      <c r="B8" s="1" t="s">
        <v>111</v>
      </c>
      <c r="C8" s="6">
        <f>'STEP 1'!A27</f>
        <v>163.4585946</v>
      </c>
      <c r="E8" s="1" t="s">
        <v>112</v>
      </c>
      <c r="F8" s="1">
        <v>0.0</v>
      </c>
    </row>
    <row r="9">
      <c r="B9" s="1" t="s">
        <v>113</v>
      </c>
      <c r="C9" s="1">
        <v>0.0254</v>
      </c>
      <c r="E9" s="1" t="s">
        <v>114</v>
      </c>
      <c r="F9" s="1">
        <v>0.0</v>
      </c>
    </row>
    <row r="10">
      <c r="B10" s="1" t="s">
        <v>115</v>
      </c>
      <c r="C10" s="54">
        <f>C8*C9^3</f>
        <v>0.002678606451</v>
      </c>
      <c r="E10" s="1" t="s">
        <v>116</v>
      </c>
      <c r="F10" s="52">
        <f>C12*F7*(F8-F9)</f>
        <v>0</v>
      </c>
    </row>
    <row r="11">
      <c r="B11" s="1" t="s">
        <v>117</v>
      </c>
      <c r="C11" s="52">
        <f>'Preliminary Calc'!B52</f>
        <v>917</v>
      </c>
    </row>
    <row r="12">
      <c r="B12" s="1" t="s">
        <v>118</v>
      </c>
      <c r="C12" s="55">
        <f>C10*C11</f>
        <v>2.456282115</v>
      </c>
    </row>
    <row r="13">
      <c r="B13" s="1" t="s">
        <v>119</v>
      </c>
      <c r="C13" s="6">
        <f>C12*C7</f>
        <v>820.3982265</v>
      </c>
    </row>
    <row r="16">
      <c r="B16" s="1" t="s">
        <v>120</v>
      </c>
      <c r="C16" s="52">
        <f>C13+F10</f>
        <v>820.3982265</v>
      </c>
      <c r="D16" s="1" t="s">
        <v>121</v>
      </c>
    </row>
    <row r="17">
      <c r="B17" s="1" t="s">
        <v>122</v>
      </c>
      <c r="C17" s="55">
        <f>C16/3600</f>
        <v>0.2278883962</v>
      </c>
      <c r="D17" s="1" t="s">
        <v>123</v>
      </c>
    </row>
    <row r="19">
      <c r="B19" s="1" t="s">
        <v>124</v>
      </c>
      <c r="C19" s="1">
        <v>3.0</v>
      </c>
    </row>
    <row r="20">
      <c r="B20" s="1" t="s">
        <v>125</v>
      </c>
      <c r="C20" s="6">
        <f>C19*3600</f>
        <v>10800</v>
      </c>
    </row>
    <row r="21">
      <c r="B21" s="1" t="s">
        <v>126</v>
      </c>
      <c r="C21" s="20">
        <f>C16/C20</f>
        <v>0.07596279875</v>
      </c>
    </row>
    <row r="23">
      <c r="B23" s="1" t="s">
        <v>127</v>
      </c>
    </row>
    <row r="24">
      <c r="B24" s="1" t="s">
        <v>128</v>
      </c>
      <c r="C24" s="44">
        <f>'Preliminary Calc'!B61</f>
        <v>0.43</v>
      </c>
    </row>
    <row r="25">
      <c r="B25" s="1" t="s">
        <v>129</v>
      </c>
      <c r="C25" s="44">
        <f>'Preliminary Calc'!B64</f>
        <v>0.44</v>
      </c>
    </row>
    <row r="26">
      <c r="B26" s="1" t="s">
        <v>130</v>
      </c>
      <c r="C26" s="44">
        <f>AVERAGE(C24:C25)</f>
        <v>0.435</v>
      </c>
    </row>
    <row r="28">
      <c r="B28" s="1" t="s">
        <v>131</v>
      </c>
      <c r="C28" s="44">
        <f>C17*C26</f>
        <v>0.09913145237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26.25"/>
    <col customWidth="1" min="5" max="5" width="14.25"/>
    <col customWidth="1" min="6" max="6" width="19.88"/>
    <col customWidth="1" min="7" max="7" width="23.25"/>
    <col customWidth="1" min="10" max="10" width="14.88"/>
    <col customWidth="1" min="11" max="11" width="25.0"/>
    <col customWidth="1" min="13" max="13" width="20.88"/>
    <col customWidth="1" min="14" max="14" width="25.13"/>
  </cols>
  <sheetData>
    <row r="2">
      <c r="B2" s="47" t="s">
        <v>132</v>
      </c>
    </row>
    <row r="3">
      <c r="B3" s="56" t="s">
        <v>133</v>
      </c>
    </row>
    <row r="5">
      <c r="B5" s="57" t="s">
        <v>134</v>
      </c>
      <c r="F5" s="58" t="s">
        <v>135</v>
      </c>
      <c r="J5" s="59" t="s">
        <v>136</v>
      </c>
    </row>
    <row r="6" ht="18.0" customHeight="1">
      <c r="B6" s="60" t="s">
        <v>137</v>
      </c>
      <c r="F6" s="61" t="s">
        <v>138</v>
      </c>
      <c r="J6" s="62"/>
      <c r="K6" s="62"/>
      <c r="L6" s="62"/>
      <c r="M6" s="62"/>
    </row>
    <row r="7">
      <c r="A7" s="63"/>
      <c r="B7" s="64" t="s">
        <v>139</v>
      </c>
      <c r="C7" s="65" t="s">
        <v>140</v>
      </c>
      <c r="D7" s="65">
        <v>0.287</v>
      </c>
      <c r="E7" s="66"/>
      <c r="F7" s="67" t="s">
        <v>139</v>
      </c>
      <c r="G7" s="68" t="s">
        <v>141</v>
      </c>
      <c r="H7" s="68">
        <v>0.1</v>
      </c>
      <c r="I7" s="69"/>
      <c r="J7" s="70" t="s">
        <v>139</v>
      </c>
      <c r="K7" s="15" t="s">
        <v>142</v>
      </c>
      <c r="L7" s="71">
        <f>'STEP 1'!A21</f>
        <v>820.3982265</v>
      </c>
      <c r="M7" s="62"/>
    </row>
    <row r="8">
      <c r="A8" s="63"/>
      <c r="B8" s="64" t="s">
        <v>143</v>
      </c>
      <c r="C8" s="65" t="s">
        <v>144</v>
      </c>
      <c r="D8" s="65">
        <v>101.325</v>
      </c>
      <c r="E8" s="66"/>
      <c r="F8" s="67" t="s">
        <v>143</v>
      </c>
      <c r="G8" s="68" t="s">
        <v>145</v>
      </c>
      <c r="H8" s="68">
        <v>0.04</v>
      </c>
      <c r="I8" s="69"/>
      <c r="J8" s="70" t="s">
        <v>143</v>
      </c>
      <c r="K8" s="15" t="s">
        <v>146</v>
      </c>
      <c r="L8" s="17">
        <f>L7/3/3600*-1</f>
        <v>-0.07596279875</v>
      </c>
      <c r="M8" s="62"/>
    </row>
    <row r="9">
      <c r="A9" s="63"/>
      <c r="B9" s="64" t="s">
        <v>147</v>
      </c>
      <c r="C9" s="65" t="s">
        <v>148</v>
      </c>
      <c r="D9" s="66">
        <f>4+273</f>
        <v>277</v>
      </c>
      <c r="E9" s="66"/>
      <c r="F9" s="67" t="s">
        <v>147</v>
      </c>
      <c r="G9" s="68" t="s">
        <v>149</v>
      </c>
      <c r="H9" s="68">
        <v>14.0</v>
      </c>
      <c r="I9" s="69"/>
      <c r="J9" s="70" t="s">
        <v>147</v>
      </c>
      <c r="K9" s="15" t="s">
        <v>150</v>
      </c>
      <c r="L9" s="15">
        <v>2.77778</v>
      </c>
      <c r="M9" s="15" t="s">
        <v>151</v>
      </c>
    </row>
    <row r="10">
      <c r="A10" s="63"/>
      <c r="B10" s="64" t="s">
        <v>152</v>
      </c>
      <c r="C10" s="65" t="s">
        <v>153</v>
      </c>
      <c r="D10" s="65">
        <v>273.0</v>
      </c>
      <c r="E10" s="66"/>
      <c r="F10" s="67" t="s">
        <v>152</v>
      </c>
      <c r="G10" s="68" t="s">
        <v>154</v>
      </c>
      <c r="H10" s="68">
        <v>14.0</v>
      </c>
      <c r="I10" s="69"/>
      <c r="J10" s="70" t="s">
        <v>152</v>
      </c>
      <c r="K10" s="15" t="s">
        <v>155</v>
      </c>
      <c r="L10" s="15">
        <v>4.7194745E-4</v>
      </c>
      <c r="M10" s="15"/>
    </row>
    <row r="11">
      <c r="A11" s="63"/>
      <c r="B11" s="64" t="s">
        <v>156</v>
      </c>
      <c r="C11" s="65" t="s">
        <v>157</v>
      </c>
      <c r="D11" s="66">
        <f>average(D9:D10)</f>
        <v>275</v>
      </c>
      <c r="E11" s="66"/>
      <c r="F11" s="67" t="s">
        <v>156</v>
      </c>
      <c r="G11" s="68" t="s">
        <v>158</v>
      </c>
      <c r="H11" s="68">
        <v>1.0</v>
      </c>
      <c r="I11" s="69"/>
      <c r="J11" s="70" t="s">
        <v>156</v>
      </c>
      <c r="K11" s="15" t="s">
        <v>113</v>
      </c>
      <c r="L11" s="15">
        <v>0.0254</v>
      </c>
      <c r="M11" s="62"/>
    </row>
    <row r="12">
      <c r="A12" s="63"/>
      <c r="B12" s="64" t="s">
        <v>159</v>
      </c>
      <c r="C12" s="65" t="s">
        <v>160</v>
      </c>
      <c r="D12" s="66">
        <f>1.46*10^-5</f>
        <v>0.0000146</v>
      </c>
      <c r="E12" s="65" t="s">
        <v>161</v>
      </c>
      <c r="F12" s="67" t="s">
        <v>162</v>
      </c>
      <c r="G12" s="72" t="s">
        <v>163</v>
      </c>
      <c r="H12" s="72">
        <v>0.0</v>
      </c>
      <c r="I12" s="69"/>
      <c r="J12" s="70" t="s">
        <v>159</v>
      </c>
      <c r="K12" s="62"/>
      <c r="L12" s="62"/>
      <c r="M12" s="62"/>
    </row>
    <row r="13">
      <c r="A13" s="63"/>
      <c r="B13" s="64" t="s">
        <v>162</v>
      </c>
      <c r="C13" s="65" t="s">
        <v>164</v>
      </c>
      <c r="D13" s="65">
        <f>1.005*1000</f>
        <v>1005</v>
      </c>
      <c r="E13" s="65" t="s">
        <v>165</v>
      </c>
      <c r="F13" s="67" t="s">
        <v>166</v>
      </c>
      <c r="G13" s="68" t="s">
        <v>167</v>
      </c>
      <c r="H13" s="68">
        <v>2.0</v>
      </c>
      <c r="I13" s="69"/>
      <c r="J13" s="70" t="s">
        <v>162</v>
      </c>
      <c r="K13" s="62"/>
      <c r="L13" s="62"/>
      <c r="M13" s="62"/>
    </row>
    <row r="14">
      <c r="A14" s="63"/>
      <c r="B14" s="64" t="s">
        <v>166</v>
      </c>
      <c r="C14" s="65" t="s">
        <v>168</v>
      </c>
      <c r="D14" s="65">
        <v>0.71</v>
      </c>
      <c r="E14" s="65" t="s">
        <v>161</v>
      </c>
      <c r="F14" s="67" t="s">
        <v>169</v>
      </c>
      <c r="G14" s="68" t="s">
        <v>170</v>
      </c>
      <c r="H14" s="68">
        <f>H13+1</f>
        <v>3</v>
      </c>
      <c r="I14" s="69"/>
      <c r="J14" s="62"/>
      <c r="K14" s="62"/>
      <c r="L14" s="62"/>
      <c r="M14" s="62"/>
    </row>
    <row r="15">
      <c r="A15" s="63"/>
      <c r="B15" s="64" t="s">
        <v>169</v>
      </c>
      <c r="C15" s="65" t="s">
        <v>171</v>
      </c>
      <c r="D15" s="73">
        <v>4.0</v>
      </c>
      <c r="E15" s="66"/>
      <c r="F15" s="61" t="s">
        <v>172</v>
      </c>
      <c r="J15" s="62"/>
      <c r="K15" s="15"/>
      <c r="L15" s="15"/>
      <c r="M15" s="62"/>
    </row>
    <row r="16">
      <c r="A16" s="63"/>
      <c r="B16" s="64" t="s">
        <v>159</v>
      </c>
      <c r="C16" s="65" t="s">
        <v>173</v>
      </c>
      <c r="D16" s="65">
        <f>24.59*10^-3</f>
        <v>0.02459</v>
      </c>
      <c r="E16" s="65"/>
      <c r="F16" s="67" t="s">
        <v>174</v>
      </c>
      <c r="G16" s="68" t="s">
        <v>175</v>
      </c>
      <c r="H16" s="69">
        <f>H9/(H7+H8)*H14</f>
        <v>300</v>
      </c>
      <c r="I16" s="69"/>
      <c r="J16" s="62"/>
      <c r="K16" s="15"/>
      <c r="L16" s="62"/>
      <c r="M16" s="62"/>
    </row>
    <row r="17">
      <c r="B17" s="60" t="s">
        <v>176</v>
      </c>
      <c r="F17" s="67" t="s">
        <v>177</v>
      </c>
      <c r="G17" s="68"/>
      <c r="H17" s="69"/>
      <c r="I17" s="69"/>
      <c r="J17" s="62"/>
      <c r="K17" s="15"/>
      <c r="L17" s="62"/>
      <c r="M17" s="62"/>
    </row>
    <row r="18">
      <c r="B18" s="66"/>
      <c r="C18" s="65" t="s">
        <v>178</v>
      </c>
      <c r="D18" s="74">
        <f>D8/(D7*D11)</f>
        <v>1.283813747</v>
      </c>
      <c r="E18" s="66"/>
      <c r="F18" s="67" t="s">
        <v>179</v>
      </c>
      <c r="G18" s="68" t="s">
        <v>180</v>
      </c>
      <c r="H18" s="69">
        <f>H11/H7</f>
        <v>10</v>
      </c>
      <c r="I18" s="69"/>
      <c r="J18" s="62"/>
      <c r="K18" s="15"/>
      <c r="L18" s="62"/>
      <c r="M18" s="62"/>
    </row>
    <row r="19">
      <c r="B19" s="66"/>
      <c r="C19" s="65" t="s">
        <v>181</v>
      </c>
      <c r="D19" s="66">
        <f>D12*D18</f>
        <v>0.00001874368071</v>
      </c>
      <c r="E19" s="66"/>
      <c r="F19" s="67" t="s">
        <v>182</v>
      </c>
      <c r="G19" s="68" t="s">
        <v>183</v>
      </c>
      <c r="H19" s="69">
        <f>H7*H11</f>
        <v>0.1</v>
      </c>
      <c r="I19" s="69"/>
      <c r="J19" s="62"/>
      <c r="K19" s="62"/>
      <c r="L19" s="62"/>
      <c r="M19" s="62"/>
    </row>
    <row r="20">
      <c r="B20" s="66"/>
      <c r="C20" s="66"/>
      <c r="D20" s="66"/>
      <c r="E20" s="66"/>
      <c r="F20" s="67" t="s">
        <v>184</v>
      </c>
      <c r="G20" s="68" t="s">
        <v>185</v>
      </c>
      <c r="H20" s="69">
        <f>(2*H11+H7)</f>
        <v>2.1</v>
      </c>
      <c r="I20" s="69"/>
      <c r="J20" s="62"/>
      <c r="K20" s="62"/>
      <c r="L20" s="62"/>
      <c r="M20" s="62"/>
    </row>
    <row r="21">
      <c r="B21" s="66"/>
      <c r="C21" s="66"/>
      <c r="D21" s="66"/>
      <c r="E21" s="66"/>
      <c r="F21" s="67" t="s">
        <v>186</v>
      </c>
      <c r="G21" s="68" t="s">
        <v>187</v>
      </c>
      <c r="H21" s="75">
        <f>4*H19/H20</f>
        <v>0.1904761905</v>
      </c>
      <c r="I21" s="69"/>
      <c r="J21" s="62"/>
      <c r="K21" s="62"/>
      <c r="L21" s="62"/>
      <c r="M21" s="62"/>
    </row>
    <row r="22">
      <c r="B22" s="66"/>
      <c r="C22" s="66"/>
      <c r="D22" s="66"/>
      <c r="E22" s="66"/>
      <c r="F22" s="67" t="s">
        <v>188</v>
      </c>
      <c r="G22" s="68" t="s">
        <v>189</v>
      </c>
      <c r="H22" s="76">
        <f>H21*L11</f>
        <v>0.004838095238</v>
      </c>
      <c r="I22" s="69"/>
      <c r="J22" s="62"/>
      <c r="K22" s="62"/>
      <c r="L22" s="62"/>
      <c r="M22" s="62"/>
    </row>
    <row r="23">
      <c r="B23" s="66"/>
      <c r="C23" s="66"/>
      <c r="D23" s="66"/>
      <c r="E23" s="66"/>
      <c r="F23" s="67" t="s">
        <v>190</v>
      </c>
      <c r="G23" s="68" t="s">
        <v>191</v>
      </c>
      <c r="H23" s="68">
        <v>2.61</v>
      </c>
      <c r="I23" s="69"/>
      <c r="J23" s="62"/>
      <c r="K23" s="62"/>
      <c r="L23" s="62"/>
      <c r="M23" s="62"/>
    </row>
    <row r="24">
      <c r="B24" s="66"/>
      <c r="C24" s="66"/>
      <c r="D24" s="66"/>
      <c r="E24" s="66"/>
      <c r="F24" s="67" t="s">
        <v>192</v>
      </c>
      <c r="G24" s="68" t="s">
        <v>193</v>
      </c>
      <c r="H24" s="69">
        <f>H20*H9</f>
        <v>29.4</v>
      </c>
      <c r="I24" s="69"/>
      <c r="J24" s="62"/>
      <c r="K24" s="62"/>
      <c r="L24" s="62"/>
      <c r="M24" s="62"/>
    </row>
    <row r="25">
      <c r="B25" s="66"/>
      <c r="C25" s="66"/>
      <c r="D25" s="66"/>
      <c r="E25" s="66"/>
      <c r="F25" s="67" t="s">
        <v>194</v>
      </c>
      <c r="G25" s="68" t="s">
        <v>195</v>
      </c>
      <c r="H25" s="77">
        <f>H24*L11^2</f>
        <v>0.018967704</v>
      </c>
      <c r="I25" s="69"/>
      <c r="J25" s="62"/>
      <c r="K25" s="62"/>
      <c r="L25" s="62"/>
      <c r="M25" s="62"/>
    </row>
    <row r="27">
      <c r="G27" s="6">
        <f>H19*H16</f>
        <v>30</v>
      </c>
    </row>
    <row r="30">
      <c r="B30" s="78" t="s">
        <v>196</v>
      </c>
      <c r="C30" s="79">
        <v>1.0</v>
      </c>
      <c r="D30" s="79">
        <v>5.0</v>
      </c>
      <c r="E30" s="79">
        <v>10.0</v>
      </c>
      <c r="F30" s="79">
        <v>20.0</v>
      </c>
      <c r="G30" s="79">
        <v>23.0</v>
      </c>
      <c r="H30" s="80">
        <v>26.0</v>
      </c>
      <c r="I30" s="80">
        <v>29.0</v>
      </c>
      <c r="J30" s="79">
        <v>30.0</v>
      </c>
      <c r="K30" s="79">
        <v>33.0</v>
      </c>
      <c r="L30" s="79">
        <v>36.0</v>
      </c>
      <c r="M30" s="79">
        <v>40.0</v>
      </c>
      <c r="N30" s="79">
        <v>50.0</v>
      </c>
      <c r="O30" s="79">
        <v>100.0</v>
      </c>
      <c r="P30" s="79">
        <v>1000.0</v>
      </c>
      <c r="Q30" s="79">
        <v>2000.0</v>
      </c>
    </row>
    <row r="31">
      <c r="B31" s="78" t="s">
        <v>197</v>
      </c>
      <c r="C31" s="81">
        <f t="shared" ref="C31:Q31" si="1">C30*$L$10</f>
        <v>0.00047194745</v>
      </c>
      <c r="D31" s="81">
        <f t="shared" si="1"/>
        <v>0.00235973725</v>
      </c>
      <c r="E31" s="81">
        <f t="shared" si="1"/>
        <v>0.0047194745</v>
      </c>
      <c r="F31" s="81">
        <f t="shared" si="1"/>
        <v>0.009438949</v>
      </c>
      <c r="G31" s="81">
        <f t="shared" si="1"/>
        <v>0.01085479135</v>
      </c>
      <c r="H31" s="82">
        <f t="shared" si="1"/>
        <v>0.0122706337</v>
      </c>
      <c r="I31" s="82">
        <f t="shared" si="1"/>
        <v>0.01368647605</v>
      </c>
      <c r="J31" s="81">
        <f t="shared" si="1"/>
        <v>0.0141584235</v>
      </c>
      <c r="K31" s="81">
        <f t="shared" si="1"/>
        <v>0.01557426585</v>
      </c>
      <c r="L31" s="81">
        <f t="shared" si="1"/>
        <v>0.0169901082</v>
      </c>
      <c r="M31" s="81">
        <f t="shared" si="1"/>
        <v>0.018877898</v>
      </c>
      <c r="N31" s="81">
        <f t="shared" si="1"/>
        <v>0.0235973725</v>
      </c>
      <c r="O31" s="81">
        <f t="shared" si="1"/>
        <v>0.047194745</v>
      </c>
      <c r="P31" s="81">
        <f t="shared" si="1"/>
        <v>0.47194745</v>
      </c>
      <c r="Q31" s="81">
        <f t="shared" si="1"/>
        <v>0.9438949</v>
      </c>
    </row>
    <row r="32">
      <c r="B32" s="78" t="s">
        <v>198</v>
      </c>
      <c r="C32" s="81">
        <f t="shared" ref="C32:Q32" si="2">C31*$D$18</f>
        <v>0.0006058926243</v>
      </c>
      <c r="D32" s="81">
        <f t="shared" si="2"/>
        <v>0.003029463121</v>
      </c>
      <c r="E32" s="81">
        <f t="shared" si="2"/>
        <v>0.006058926243</v>
      </c>
      <c r="F32" s="81">
        <f t="shared" si="2"/>
        <v>0.01211785249</v>
      </c>
      <c r="G32" s="81">
        <f t="shared" si="2"/>
        <v>0.01393553036</v>
      </c>
      <c r="H32" s="82">
        <f t="shared" si="2"/>
        <v>0.01575320823</v>
      </c>
      <c r="I32" s="82">
        <f t="shared" si="2"/>
        <v>0.0175708861</v>
      </c>
      <c r="J32" s="81">
        <f t="shared" si="2"/>
        <v>0.01817677873</v>
      </c>
      <c r="K32" s="81">
        <f t="shared" si="2"/>
        <v>0.0199944566</v>
      </c>
      <c r="L32" s="81">
        <f t="shared" si="2"/>
        <v>0.02181213447</v>
      </c>
      <c r="M32" s="81">
        <f t="shared" si="2"/>
        <v>0.02423570497</v>
      </c>
      <c r="N32" s="81">
        <f t="shared" si="2"/>
        <v>0.03029463121</v>
      </c>
      <c r="O32" s="81">
        <f t="shared" si="2"/>
        <v>0.06058926243</v>
      </c>
      <c r="P32" s="81">
        <f t="shared" si="2"/>
        <v>0.6058926243</v>
      </c>
      <c r="Q32" s="81">
        <f t="shared" si="2"/>
        <v>1.211785249</v>
      </c>
    </row>
    <row r="33">
      <c r="B33" s="78" t="s">
        <v>199</v>
      </c>
      <c r="C33" s="83">
        <f t="shared" ref="C33:Q33" si="3">C32/$H$16</f>
        <v>0.000002019642081</v>
      </c>
      <c r="D33" s="83">
        <f t="shared" si="3"/>
        <v>0.0000100982104</v>
      </c>
      <c r="E33" s="83">
        <f t="shared" si="3"/>
        <v>0.00002019642081</v>
      </c>
      <c r="F33" s="83">
        <f t="shared" si="3"/>
        <v>0.00004039284162</v>
      </c>
      <c r="G33" s="83">
        <f t="shared" si="3"/>
        <v>0.00004645176786</v>
      </c>
      <c r="H33" s="84">
        <f t="shared" si="3"/>
        <v>0.0000525106941</v>
      </c>
      <c r="I33" s="84">
        <f t="shared" si="3"/>
        <v>0.00005856962035</v>
      </c>
      <c r="J33" s="83">
        <f t="shared" si="3"/>
        <v>0.00006058926243</v>
      </c>
      <c r="K33" s="83">
        <f t="shared" si="3"/>
        <v>0.00006664818867</v>
      </c>
      <c r="L33" s="83">
        <f t="shared" si="3"/>
        <v>0.00007270711491</v>
      </c>
      <c r="M33" s="83">
        <f t="shared" si="3"/>
        <v>0.00008078568324</v>
      </c>
      <c r="N33" s="83">
        <f t="shared" si="3"/>
        <v>0.000100982104</v>
      </c>
      <c r="O33" s="83">
        <f t="shared" si="3"/>
        <v>0.0002019642081</v>
      </c>
      <c r="P33" s="83">
        <f t="shared" si="3"/>
        <v>0.002019642081</v>
      </c>
      <c r="Q33" s="83">
        <f t="shared" si="3"/>
        <v>0.004039284162</v>
      </c>
    </row>
    <row r="34">
      <c r="B34" s="78" t="s">
        <v>200</v>
      </c>
      <c r="C34" s="83">
        <f t="shared" ref="C34:Q34" si="4">C32/($D$18*$H$19*$L$11*$H$16*$H$14)</f>
        <v>0.000206451203</v>
      </c>
      <c r="D34" s="83">
        <f t="shared" si="4"/>
        <v>0.001032256015</v>
      </c>
      <c r="E34" s="83">
        <f t="shared" si="4"/>
        <v>0.00206451203</v>
      </c>
      <c r="F34" s="83">
        <f t="shared" si="4"/>
        <v>0.004129024059</v>
      </c>
      <c r="G34" s="83">
        <f t="shared" si="4"/>
        <v>0.004748377668</v>
      </c>
      <c r="H34" s="84">
        <f t="shared" si="4"/>
        <v>0.005367731277</v>
      </c>
      <c r="I34" s="84">
        <f t="shared" si="4"/>
        <v>0.005987084886</v>
      </c>
      <c r="J34" s="83">
        <f t="shared" si="4"/>
        <v>0.006193536089</v>
      </c>
      <c r="K34" s="83">
        <f t="shared" si="4"/>
        <v>0.006812889698</v>
      </c>
      <c r="L34" s="83">
        <f t="shared" si="4"/>
        <v>0.007432243307</v>
      </c>
      <c r="M34" s="83">
        <f t="shared" si="4"/>
        <v>0.008258048119</v>
      </c>
      <c r="N34" s="83">
        <f t="shared" si="4"/>
        <v>0.01032256015</v>
      </c>
      <c r="O34" s="83">
        <f t="shared" si="4"/>
        <v>0.0206451203</v>
      </c>
      <c r="P34" s="83">
        <f t="shared" si="4"/>
        <v>0.206451203</v>
      </c>
      <c r="Q34" s="83">
        <f t="shared" si="4"/>
        <v>0.4129024059</v>
      </c>
    </row>
    <row r="35">
      <c r="B35" s="78" t="s">
        <v>201</v>
      </c>
      <c r="C35" s="85">
        <f t="shared" ref="C35:Q35" si="5">4*C33/($D$19*PI()*$H$22)</f>
        <v>28.35667063</v>
      </c>
      <c r="D35" s="85">
        <f t="shared" si="5"/>
        <v>141.7833532</v>
      </c>
      <c r="E35" s="85">
        <f t="shared" si="5"/>
        <v>283.5667063</v>
      </c>
      <c r="F35" s="85">
        <f t="shared" si="5"/>
        <v>567.1334126</v>
      </c>
      <c r="G35" s="85">
        <f t="shared" si="5"/>
        <v>652.2034245</v>
      </c>
      <c r="H35" s="86">
        <f t="shared" si="5"/>
        <v>737.2734364</v>
      </c>
      <c r="I35" s="86">
        <f t="shared" si="5"/>
        <v>822.3434483</v>
      </c>
      <c r="J35" s="85">
        <f t="shared" si="5"/>
        <v>850.7001189</v>
      </c>
      <c r="K35" s="85">
        <f t="shared" si="5"/>
        <v>935.7701308</v>
      </c>
      <c r="L35" s="85">
        <f t="shared" si="5"/>
        <v>1020.840143</v>
      </c>
      <c r="M35" s="85">
        <f t="shared" si="5"/>
        <v>1134.266825</v>
      </c>
      <c r="N35" s="85">
        <f t="shared" si="5"/>
        <v>1417.833532</v>
      </c>
      <c r="O35" s="85">
        <f t="shared" si="5"/>
        <v>2835.667063</v>
      </c>
      <c r="P35" s="85">
        <f t="shared" si="5"/>
        <v>28356.67063</v>
      </c>
      <c r="Q35" s="85">
        <f t="shared" si="5"/>
        <v>56713.34126</v>
      </c>
    </row>
    <row r="36">
      <c r="B36" s="78" t="s">
        <v>202</v>
      </c>
      <c r="C36" s="87" t="str">
        <f t="shared" ref="C36:Q36" si="6">if(C35&gt;2300,if(C35&lt;10000,"Transitional","Turbulent"),"Laminar")</f>
        <v>Laminar</v>
      </c>
      <c r="D36" s="87" t="str">
        <f t="shared" si="6"/>
        <v>Laminar</v>
      </c>
      <c r="E36" s="87" t="str">
        <f t="shared" si="6"/>
        <v>Laminar</v>
      </c>
      <c r="F36" s="87" t="str">
        <f t="shared" si="6"/>
        <v>Laminar</v>
      </c>
      <c r="G36" s="87" t="str">
        <f t="shared" si="6"/>
        <v>Laminar</v>
      </c>
      <c r="H36" s="88" t="str">
        <f t="shared" si="6"/>
        <v>Laminar</v>
      </c>
      <c r="I36" s="88" t="str">
        <f t="shared" si="6"/>
        <v>Laminar</v>
      </c>
      <c r="J36" s="87" t="str">
        <f t="shared" si="6"/>
        <v>Laminar</v>
      </c>
      <c r="K36" s="87" t="str">
        <f t="shared" si="6"/>
        <v>Laminar</v>
      </c>
      <c r="L36" s="87" t="str">
        <f t="shared" si="6"/>
        <v>Laminar</v>
      </c>
      <c r="M36" s="87" t="str">
        <f t="shared" si="6"/>
        <v>Laminar</v>
      </c>
      <c r="N36" s="87" t="str">
        <f t="shared" si="6"/>
        <v>Laminar</v>
      </c>
      <c r="O36" s="87" t="str">
        <f t="shared" si="6"/>
        <v>Transitional</v>
      </c>
      <c r="P36" s="87" t="str">
        <f t="shared" si="6"/>
        <v>Turbulent</v>
      </c>
      <c r="Q36" s="87" t="str">
        <f t="shared" si="6"/>
        <v>Turbulent</v>
      </c>
    </row>
    <row r="37">
      <c r="B37" s="78" t="s">
        <v>203</v>
      </c>
      <c r="C37" s="89">
        <f t="shared" ref="C37:K37" si="7">if(C36="Laminar",0.05*C35*$D$14*$H$22,10*$H$22)</f>
        <v>0.004870325697</v>
      </c>
      <c r="D37" s="89">
        <f t="shared" si="7"/>
        <v>0.02435162848</v>
      </c>
      <c r="E37" s="89">
        <f t="shared" si="7"/>
        <v>0.04870325697</v>
      </c>
      <c r="F37" s="89">
        <f t="shared" si="7"/>
        <v>0.09740651393</v>
      </c>
      <c r="G37" s="89">
        <f t="shared" si="7"/>
        <v>0.112017491</v>
      </c>
      <c r="H37" s="90">
        <f t="shared" si="7"/>
        <v>0.1266284681</v>
      </c>
      <c r="I37" s="90">
        <f t="shared" si="7"/>
        <v>0.1412394452</v>
      </c>
      <c r="J37" s="89">
        <f t="shared" si="7"/>
        <v>0.1461097709</v>
      </c>
      <c r="K37" s="89">
        <f t="shared" si="7"/>
        <v>0.160720748</v>
      </c>
      <c r="L37" s="89">
        <f t="shared" ref="L37:P37" si="8">if(L36="laminar",0.05*$C$35*$D$14*$H$22,10*$H$22)</f>
        <v>0.004870325697</v>
      </c>
      <c r="M37" s="89">
        <f t="shared" si="8"/>
        <v>0.004870325697</v>
      </c>
      <c r="N37" s="89">
        <f t="shared" si="8"/>
        <v>0.004870325697</v>
      </c>
      <c r="O37" s="89">
        <f t="shared" si="8"/>
        <v>0.04838095238</v>
      </c>
      <c r="P37" s="89">
        <f t="shared" si="8"/>
        <v>0.04838095238</v>
      </c>
      <c r="Q37" s="89">
        <f>10*$H$22</f>
        <v>0.04838095238</v>
      </c>
    </row>
    <row r="38">
      <c r="B38" s="78" t="s">
        <v>204</v>
      </c>
      <c r="C38" s="91">
        <f t="shared" ref="C38:Q38" si="9">if(C36="Laminar",$H$23, 0.023*C35^0.8*$D$14^0.3)</f>
        <v>2.61</v>
      </c>
      <c r="D38" s="91">
        <f t="shared" si="9"/>
        <v>2.61</v>
      </c>
      <c r="E38" s="91">
        <f t="shared" si="9"/>
        <v>2.61</v>
      </c>
      <c r="F38" s="91">
        <f t="shared" si="9"/>
        <v>2.61</v>
      </c>
      <c r="G38" s="91">
        <f t="shared" si="9"/>
        <v>2.61</v>
      </c>
      <c r="H38" s="92">
        <f t="shared" si="9"/>
        <v>2.61</v>
      </c>
      <c r="I38" s="92">
        <f t="shared" si="9"/>
        <v>2.61</v>
      </c>
      <c r="J38" s="91">
        <f t="shared" si="9"/>
        <v>2.61</v>
      </c>
      <c r="K38" s="91">
        <f t="shared" si="9"/>
        <v>2.61</v>
      </c>
      <c r="L38" s="91">
        <f t="shared" si="9"/>
        <v>2.61</v>
      </c>
      <c r="M38" s="91">
        <f t="shared" si="9"/>
        <v>2.61</v>
      </c>
      <c r="N38" s="91">
        <f t="shared" si="9"/>
        <v>2.61</v>
      </c>
      <c r="O38" s="91">
        <f t="shared" si="9"/>
        <v>12.00133426</v>
      </c>
      <c r="P38" s="91">
        <f t="shared" si="9"/>
        <v>75.72329992</v>
      </c>
      <c r="Q38" s="91">
        <f t="shared" si="9"/>
        <v>131.8419228</v>
      </c>
    </row>
    <row r="39">
      <c r="B39" s="78" t="s">
        <v>205</v>
      </c>
      <c r="C39" s="85">
        <f t="shared" ref="C39:Q39" si="10">C38*$D$16/$H$22</f>
        <v>13.26553051</v>
      </c>
      <c r="D39" s="85">
        <f t="shared" si="10"/>
        <v>13.26553051</v>
      </c>
      <c r="E39" s="85">
        <f t="shared" si="10"/>
        <v>13.26553051</v>
      </c>
      <c r="F39" s="85">
        <f t="shared" si="10"/>
        <v>13.26553051</v>
      </c>
      <c r="G39" s="85">
        <f t="shared" si="10"/>
        <v>13.26553051</v>
      </c>
      <c r="H39" s="86">
        <f t="shared" si="10"/>
        <v>13.26553051</v>
      </c>
      <c r="I39" s="86">
        <f t="shared" si="10"/>
        <v>13.26553051</v>
      </c>
      <c r="J39" s="85">
        <f t="shared" si="10"/>
        <v>13.26553051</v>
      </c>
      <c r="K39" s="85">
        <f t="shared" si="10"/>
        <v>13.26553051</v>
      </c>
      <c r="L39" s="85">
        <f t="shared" si="10"/>
        <v>13.26553051</v>
      </c>
      <c r="M39" s="85">
        <f t="shared" si="10"/>
        <v>13.26553051</v>
      </c>
      <c r="N39" s="85">
        <f t="shared" si="10"/>
        <v>13.26553051</v>
      </c>
      <c r="O39" s="85">
        <f t="shared" si="10"/>
        <v>60.99772634</v>
      </c>
      <c r="P39" s="85">
        <f t="shared" si="10"/>
        <v>384.8696343</v>
      </c>
      <c r="Q39" s="85">
        <f t="shared" si="10"/>
        <v>670.0969539</v>
      </c>
    </row>
    <row r="40">
      <c r="A40" s="1"/>
      <c r="C40" s="87"/>
      <c r="D40" s="87"/>
      <c r="E40" s="87"/>
      <c r="F40" s="87"/>
      <c r="G40" s="87"/>
      <c r="H40" s="88"/>
      <c r="I40" s="88"/>
      <c r="J40" s="87"/>
      <c r="K40" s="87"/>
      <c r="L40" s="87"/>
      <c r="M40" s="87"/>
      <c r="N40" s="87"/>
      <c r="O40" s="87"/>
      <c r="P40" s="87"/>
      <c r="Q40" s="87"/>
    </row>
    <row r="41">
      <c r="A41" s="1"/>
      <c r="B41" s="78" t="s">
        <v>206</v>
      </c>
      <c r="C41" s="87">
        <f t="shared" ref="C41:Q41" si="11">$L$8*1000/(C32*$D$13)+$D$15</f>
        <v>-120.7496196</v>
      </c>
      <c r="D41" s="87">
        <f t="shared" si="11"/>
        <v>-20.94992391</v>
      </c>
      <c r="E41" s="87">
        <f t="shared" si="11"/>
        <v>-8.474961957</v>
      </c>
      <c r="F41" s="87">
        <f t="shared" si="11"/>
        <v>-2.237480978</v>
      </c>
      <c r="G41" s="87">
        <f t="shared" si="11"/>
        <v>-1.423896503</v>
      </c>
      <c r="H41" s="88">
        <f t="shared" si="11"/>
        <v>-0.798062291</v>
      </c>
      <c r="I41" s="88">
        <f t="shared" si="11"/>
        <v>-0.3017110195</v>
      </c>
      <c r="J41" s="87">
        <f t="shared" si="11"/>
        <v>-0.1583206522</v>
      </c>
      <c r="K41" s="87">
        <f t="shared" si="11"/>
        <v>0.219708498</v>
      </c>
      <c r="L41" s="87">
        <f t="shared" si="11"/>
        <v>0.5347327898</v>
      </c>
      <c r="M41" s="87">
        <f t="shared" si="11"/>
        <v>0.8812595109</v>
      </c>
      <c r="N41" s="87">
        <f t="shared" si="11"/>
        <v>1.505007609</v>
      </c>
      <c r="O41" s="87">
        <f t="shared" si="11"/>
        <v>2.752503804</v>
      </c>
      <c r="P41" s="87">
        <f t="shared" si="11"/>
        <v>3.87525038</v>
      </c>
      <c r="Q41" s="87">
        <f t="shared" si="11"/>
        <v>3.93762519</v>
      </c>
    </row>
    <row r="42">
      <c r="A42" s="1"/>
      <c r="B42" s="78" t="s">
        <v>207</v>
      </c>
      <c r="C42" s="93">
        <f t="shared" ref="C42:Q42" si="12">$H$12-($H$12-$D$15)*exp(-1*C39*$H$25/(C33*$D$13))</f>
        <v>0</v>
      </c>
      <c r="D42" s="93">
        <f t="shared" si="12"/>
        <v>0</v>
      </c>
      <c r="E42" s="93">
        <f t="shared" si="12"/>
        <v>0.00001653219678</v>
      </c>
      <c r="F42" s="93">
        <f t="shared" si="12"/>
        <v>0.008131960842</v>
      </c>
      <c r="G42" s="93">
        <f t="shared" si="12"/>
        <v>0.01825189944</v>
      </c>
      <c r="H42" s="94">
        <f t="shared" si="12"/>
        <v>0.03399341746</v>
      </c>
      <c r="I42" s="94">
        <f t="shared" si="12"/>
        <v>0.0556674809</v>
      </c>
      <c r="J42" s="93">
        <f t="shared" si="12"/>
        <v>0.06419238567</v>
      </c>
      <c r="K42" s="93">
        <f t="shared" si="12"/>
        <v>0.09346022714</v>
      </c>
      <c r="L42" s="93">
        <f t="shared" si="12"/>
        <v>0.127814344</v>
      </c>
      <c r="M42" s="93">
        <f t="shared" si="12"/>
        <v>0.1803547708</v>
      </c>
      <c r="N42" s="93">
        <f t="shared" si="12"/>
        <v>0.3352077927</v>
      </c>
      <c r="O42" s="93">
        <f t="shared" si="12"/>
        <v>0.01338156394</v>
      </c>
      <c r="P42" s="93">
        <f t="shared" si="12"/>
        <v>0.1096709411</v>
      </c>
      <c r="Q42" s="93">
        <f t="shared" si="12"/>
        <v>0.1746978267</v>
      </c>
    </row>
    <row r="43">
      <c r="A43" s="1"/>
    </row>
    <row r="44">
      <c r="A44" s="1"/>
      <c r="B44" s="78"/>
    </row>
    <row r="45">
      <c r="A45" s="1"/>
      <c r="B45" s="78"/>
      <c r="C45" s="95"/>
    </row>
    <row r="46">
      <c r="B46" s="78"/>
    </row>
    <row r="47">
      <c r="B47" s="78"/>
      <c r="D47" s="81"/>
    </row>
  </sheetData>
  <mergeCells count="9">
    <mergeCell ref="F15:I15"/>
    <mergeCell ref="B17:E17"/>
    <mergeCell ref="B2:O2"/>
    <mergeCell ref="B3:O4"/>
    <mergeCell ref="B5:E5"/>
    <mergeCell ref="F5:I5"/>
    <mergeCell ref="J5:M5"/>
    <mergeCell ref="B6:E6"/>
    <mergeCell ref="F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26.25"/>
    <col customWidth="1" min="5" max="5" width="14.25"/>
    <col customWidth="1" min="6" max="6" width="19.88"/>
    <col customWidth="1" min="7" max="7" width="26.13"/>
    <col customWidth="1" min="10" max="10" width="14.88"/>
    <col customWidth="1" min="11" max="11" width="25.0"/>
    <col customWidth="1" min="13" max="13" width="20.88"/>
    <col customWidth="1" min="14" max="14" width="25.13"/>
  </cols>
  <sheetData>
    <row r="2">
      <c r="B2" s="47" t="s">
        <v>132</v>
      </c>
    </row>
    <row r="3">
      <c r="B3" s="56" t="s">
        <v>133</v>
      </c>
    </row>
    <row r="5">
      <c r="B5" s="57" t="s">
        <v>134</v>
      </c>
      <c r="F5" s="58" t="s">
        <v>135</v>
      </c>
      <c r="J5" s="59" t="s">
        <v>136</v>
      </c>
    </row>
    <row r="6" ht="18.0" customHeight="1">
      <c r="B6" s="60" t="s">
        <v>137</v>
      </c>
      <c r="F6" s="61" t="s">
        <v>138</v>
      </c>
      <c r="J6" s="62"/>
      <c r="K6" s="62"/>
      <c r="L6" s="62"/>
      <c r="M6" s="62"/>
    </row>
    <row r="7">
      <c r="A7" s="63"/>
      <c r="B7" s="64" t="s">
        <v>139</v>
      </c>
      <c r="C7" s="65" t="s">
        <v>140</v>
      </c>
      <c r="D7" s="65">
        <v>0.287</v>
      </c>
      <c r="E7" s="66"/>
      <c r="F7" s="67"/>
      <c r="G7" s="68"/>
      <c r="H7" s="68"/>
      <c r="I7" s="69"/>
      <c r="J7" s="70" t="s">
        <v>139</v>
      </c>
      <c r="K7" s="15" t="s">
        <v>142</v>
      </c>
      <c r="L7" s="71">
        <f>'STEP 1'!A21</f>
        <v>820.3982265</v>
      </c>
      <c r="M7" s="62"/>
    </row>
    <row r="8">
      <c r="A8" s="63"/>
      <c r="B8" s="64" t="s">
        <v>143</v>
      </c>
      <c r="C8" s="65" t="s">
        <v>144</v>
      </c>
      <c r="D8" s="65">
        <v>101.325</v>
      </c>
      <c r="E8" s="66"/>
      <c r="F8" s="67" t="s">
        <v>143</v>
      </c>
      <c r="G8" s="68" t="s">
        <v>208</v>
      </c>
      <c r="H8" s="68">
        <v>1.0</v>
      </c>
      <c r="I8" s="69"/>
      <c r="J8" s="70" t="s">
        <v>143</v>
      </c>
      <c r="K8" s="15" t="s">
        <v>146</v>
      </c>
      <c r="L8" s="17">
        <f>L7/3/3600*-1</f>
        <v>-0.07596279875</v>
      </c>
      <c r="M8" s="62"/>
      <c r="N8" s="52"/>
    </row>
    <row r="9">
      <c r="A9" s="63"/>
      <c r="B9" s="64" t="s">
        <v>147</v>
      </c>
      <c r="C9" s="65" t="s">
        <v>148</v>
      </c>
      <c r="D9" s="66">
        <f>4+273</f>
        <v>277</v>
      </c>
      <c r="E9" s="66"/>
      <c r="F9" s="67" t="s">
        <v>147</v>
      </c>
      <c r="G9" s="68" t="s">
        <v>149</v>
      </c>
      <c r="H9" s="68">
        <v>14.0</v>
      </c>
      <c r="I9" s="69"/>
      <c r="J9" s="70" t="s">
        <v>147</v>
      </c>
      <c r="K9" s="15" t="s">
        <v>150</v>
      </c>
      <c r="L9" s="15">
        <v>2.77778</v>
      </c>
      <c r="M9" s="15" t="s">
        <v>151</v>
      </c>
    </row>
    <row r="10">
      <c r="A10" s="63"/>
      <c r="B10" s="64" t="s">
        <v>152</v>
      </c>
      <c r="C10" s="65" t="s">
        <v>153</v>
      </c>
      <c r="D10" s="65">
        <v>273.0</v>
      </c>
      <c r="E10" s="66"/>
      <c r="F10" s="67" t="s">
        <v>152</v>
      </c>
      <c r="G10" s="68" t="s">
        <v>154</v>
      </c>
      <c r="H10" s="68">
        <v>14.0</v>
      </c>
      <c r="I10" s="69"/>
      <c r="J10" s="70" t="s">
        <v>152</v>
      </c>
      <c r="K10" s="15" t="s">
        <v>155</v>
      </c>
      <c r="L10" s="15">
        <v>4.7194745E-4</v>
      </c>
      <c r="M10" s="15"/>
    </row>
    <row r="11">
      <c r="A11" s="63"/>
      <c r="B11" s="64" t="s">
        <v>156</v>
      </c>
      <c r="C11" s="65" t="s">
        <v>157</v>
      </c>
      <c r="D11" s="66">
        <f>average(D9:D10)</f>
        <v>275</v>
      </c>
      <c r="E11" s="66"/>
      <c r="F11" s="67" t="s">
        <v>162</v>
      </c>
      <c r="G11" s="72" t="s">
        <v>209</v>
      </c>
      <c r="H11" s="72">
        <v>0.0</v>
      </c>
      <c r="I11" s="69"/>
      <c r="J11" s="70" t="s">
        <v>156</v>
      </c>
      <c r="K11" s="15" t="s">
        <v>113</v>
      </c>
      <c r="L11" s="15">
        <v>0.0254</v>
      </c>
      <c r="M11" s="62"/>
    </row>
    <row r="12">
      <c r="A12" s="63"/>
      <c r="B12" s="64" t="s">
        <v>159</v>
      </c>
      <c r="C12" s="65" t="s">
        <v>160</v>
      </c>
      <c r="D12" s="66">
        <f>1.46*10^-5</f>
        <v>0.0000146</v>
      </c>
      <c r="E12" s="65" t="s">
        <v>161</v>
      </c>
      <c r="F12" s="67" t="s">
        <v>166</v>
      </c>
      <c r="G12" s="68" t="s">
        <v>167</v>
      </c>
      <c r="H12" s="68">
        <v>1.0</v>
      </c>
      <c r="I12" s="69"/>
      <c r="J12" s="70" t="s">
        <v>159</v>
      </c>
      <c r="K12" s="62"/>
      <c r="L12" s="62"/>
      <c r="M12" s="62">
        <f>9.8*10^-4</f>
        <v>0.00098</v>
      </c>
    </row>
    <row r="13">
      <c r="A13" s="63"/>
      <c r="B13" s="64" t="s">
        <v>162</v>
      </c>
      <c r="C13" s="65" t="s">
        <v>164</v>
      </c>
      <c r="D13" s="65">
        <f>1.005*1000</f>
        <v>1005</v>
      </c>
      <c r="E13" s="65" t="s">
        <v>165</v>
      </c>
      <c r="F13" s="67" t="s">
        <v>169</v>
      </c>
      <c r="G13" s="68" t="s">
        <v>210</v>
      </c>
      <c r="H13" s="68">
        <v>2.0</v>
      </c>
      <c r="I13" s="69"/>
      <c r="J13" s="70" t="s">
        <v>162</v>
      </c>
      <c r="K13" s="62"/>
      <c r="L13" s="62"/>
      <c r="M13" s="62">
        <f>M12/L10</f>
        <v>2.076502373</v>
      </c>
    </row>
    <row r="14">
      <c r="A14" s="63"/>
      <c r="B14" s="64" t="s">
        <v>166</v>
      </c>
      <c r="C14" s="65" t="s">
        <v>168</v>
      </c>
      <c r="D14" s="65">
        <v>0.71</v>
      </c>
      <c r="E14" s="65" t="s">
        <v>161</v>
      </c>
      <c r="I14" s="69"/>
      <c r="J14" s="62"/>
      <c r="K14" s="62"/>
      <c r="L14" s="62"/>
      <c r="M14" s="62"/>
    </row>
    <row r="15">
      <c r="A15" s="63"/>
      <c r="B15" s="64" t="s">
        <v>169</v>
      </c>
      <c r="C15" s="65" t="s">
        <v>171</v>
      </c>
      <c r="D15" s="73">
        <v>4.0</v>
      </c>
      <c r="E15" s="66"/>
      <c r="F15" s="61" t="s">
        <v>172</v>
      </c>
      <c r="J15" s="62"/>
      <c r="K15" s="15" t="s">
        <v>211</v>
      </c>
      <c r="L15" s="15">
        <v>1.0</v>
      </c>
      <c r="M15" s="62"/>
    </row>
    <row r="16">
      <c r="A16" s="63"/>
      <c r="B16" s="64" t="s">
        <v>159</v>
      </c>
      <c r="C16" s="65" t="s">
        <v>173</v>
      </c>
      <c r="D16" s="65">
        <f>24.59*10^-3</f>
        <v>0.02459</v>
      </c>
      <c r="E16" s="65"/>
      <c r="F16" s="67"/>
      <c r="G16" s="68"/>
      <c r="H16" s="69"/>
      <c r="I16" s="69"/>
      <c r="J16" s="62"/>
      <c r="K16" s="15" t="s">
        <v>212</v>
      </c>
      <c r="L16" s="62">
        <f>L15*H9</f>
        <v>14</v>
      </c>
      <c r="M16" s="62"/>
    </row>
    <row r="17">
      <c r="B17" s="60" t="s">
        <v>176</v>
      </c>
      <c r="F17" s="67" t="s">
        <v>177</v>
      </c>
      <c r="G17" s="68" t="s">
        <v>213</v>
      </c>
      <c r="H17" s="69">
        <f>H9*H9</f>
        <v>196</v>
      </c>
      <c r="I17" s="69"/>
      <c r="J17" s="62"/>
      <c r="K17" s="15" t="s">
        <v>214</v>
      </c>
      <c r="L17" s="62">
        <f>2*L15+L16</f>
        <v>16</v>
      </c>
      <c r="M17" s="62"/>
    </row>
    <row r="18">
      <c r="B18" s="66"/>
      <c r="C18" s="65" t="s">
        <v>178</v>
      </c>
      <c r="D18" s="74">
        <f>D8/(D7*D11)</f>
        <v>1.283813747</v>
      </c>
      <c r="E18" s="66"/>
      <c r="F18" s="67" t="s">
        <v>179</v>
      </c>
      <c r="G18" s="68" t="s">
        <v>215</v>
      </c>
      <c r="H18" s="76">
        <f>H8/H9</f>
        <v>0.07142857143</v>
      </c>
      <c r="I18" s="69"/>
      <c r="J18" s="62"/>
      <c r="K18" s="15" t="s">
        <v>216</v>
      </c>
      <c r="L18" s="62">
        <f>4*L16/L17</f>
        <v>3.5</v>
      </c>
      <c r="M18" s="62"/>
    </row>
    <row r="19">
      <c r="B19" s="66"/>
      <c r="C19" s="65" t="s">
        <v>181</v>
      </c>
      <c r="D19" s="66">
        <f>D12*D18</f>
        <v>0.00001874368071</v>
      </c>
      <c r="E19" s="66"/>
      <c r="F19" s="67" t="s">
        <v>182</v>
      </c>
      <c r="G19" s="68" t="s">
        <v>217</v>
      </c>
      <c r="H19" s="69">
        <f>H8*H9</f>
        <v>14</v>
      </c>
      <c r="I19" s="69"/>
      <c r="J19" s="62"/>
      <c r="K19" s="62"/>
      <c r="L19" s="62"/>
      <c r="M19" s="62"/>
    </row>
    <row r="20">
      <c r="B20" s="66"/>
      <c r="C20" s="66"/>
      <c r="D20" s="66"/>
      <c r="E20" s="66"/>
      <c r="G20" s="68" t="s">
        <v>218</v>
      </c>
      <c r="H20" s="20">
        <f>H19*L11^2</f>
        <v>0.00903224</v>
      </c>
      <c r="I20" s="69"/>
      <c r="J20" s="62"/>
      <c r="K20" s="62"/>
      <c r="L20" s="62"/>
      <c r="M20" s="62"/>
    </row>
    <row r="21">
      <c r="B21" s="66"/>
      <c r="C21" s="66"/>
      <c r="D21" s="66"/>
      <c r="E21" s="66"/>
      <c r="F21" s="67" t="s">
        <v>184</v>
      </c>
      <c r="G21" s="68" t="s">
        <v>219</v>
      </c>
      <c r="H21" s="69">
        <f>H19+2*H8</f>
        <v>16</v>
      </c>
      <c r="I21" s="69"/>
      <c r="J21" s="62"/>
      <c r="K21" s="62"/>
      <c r="L21" s="62"/>
      <c r="M21" s="62"/>
    </row>
    <row r="22">
      <c r="B22" s="66"/>
      <c r="C22" s="66"/>
      <c r="D22" s="66"/>
      <c r="E22" s="66"/>
      <c r="F22" s="67" t="s">
        <v>186</v>
      </c>
      <c r="G22" s="68" t="s">
        <v>187</v>
      </c>
      <c r="H22" s="75">
        <f>4*H19/H21</f>
        <v>3.5</v>
      </c>
      <c r="I22" s="69"/>
      <c r="J22" s="62"/>
      <c r="K22" s="62"/>
      <c r="L22" s="62"/>
      <c r="M22" s="62"/>
    </row>
    <row r="23">
      <c r="B23" s="66"/>
      <c r="C23" s="66"/>
      <c r="D23" s="66"/>
      <c r="E23" s="66"/>
      <c r="F23" s="67" t="s">
        <v>188</v>
      </c>
      <c r="G23" s="68" t="s">
        <v>189</v>
      </c>
      <c r="H23" s="76">
        <f>H22*L11</f>
        <v>0.0889</v>
      </c>
      <c r="I23" s="69"/>
      <c r="J23" s="62"/>
      <c r="K23" s="62"/>
      <c r="L23" s="62"/>
      <c r="M23" s="62"/>
    </row>
    <row r="24">
      <c r="B24" s="66"/>
      <c r="C24" s="66"/>
      <c r="D24" s="66"/>
      <c r="E24" s="66"/>
      <c r="F24" s="67" t="s">
        <v>190</v>
      </c>
      <c r="G24" s="68" t="s">
        <v>191</v>
      </c>
      <c r="H24" s="68">
        <v>4.0</v>
      </c>
      <c r="I24" s="69"/>
      <c r="J24" s="62"/>
      <c r="K24" s="62"/>
      <c r="L24" s="62"/>
      <c r="M24" s="62"/>
    </row>
    <row r="25">
      <c r="B25" s="66"/>
      <c r="C25" s="66"/>
      <c r="D25" s="66"/>
      <c r="E25" s="66"/>
      <c r="F25" s="67" t="s">
        <v>192</v>
      </c>
      <c r="G25" s="68" t="s">
        <v>220</v>
      </c>
      <c r="H25" s="69">
        <f>H17*H13</f>
        <v>392</v>
      </c>
      <c r="I25" s="69"/>
      <c r="J25" s="62"/>
      <c r="K25" s="62"/>
      <c r="L25" s="62"/>
      <c r="M25" s="62"/>
    </row>
    <row r="26">
      <c r="F26" s="67" t="s">
        <v>194</v>
      </c>
      <c r="G26" s="68" t="s">
        <v>195</v>
      </c>
      <c r="H26" s="77">
        <f>H25*L11^2</f>
        <v>0.25290272</v>
      </c>
    </row>
    <row r="28">
      <c r="D28" s="6">
        <f>H23^2*pi()/4*100</f>
        <v>0.6207166619</v>
      </c>
    </row>
    <row r="30">
      <c r="B30" s="78" t="s">
        <v>196</v>
      </c>
      <c r="C30" s="79">
        <v>1.0</v>
      </c>
      <c r="D30" s="79">
        <v>5.0</v>
      </c>
      <c r="E30" s="79">
        <v>10.0</v>
      </c>
      <c r="F30" s="79">
        <v>20.0</v>
      </c>
      <c r="G30" s="79">
        <v>23.0</v>
      </c>
      <c r="H30" s="79">
        <v>26.0</v>
      </c>
      <c r="I30" s="79">
        <v>29.0</v>
      </c>
      <c r="J30" s="79">
        <v>30.0</v>
      </c>
      <c r="K30" s="79">
        <v>33.0</v>
      </c>
      <c r="L30" s="79">
        <v>36.0</v>
      </c>
      <c r="M30" s="79">
        <v>40.0</v>
      </c>
      <c r="N30" s="79">
        <v>50.0</v>
      </c>
      <c r="O30" s="79">
        <v>100.0</v>
      </c>
      <c r="P30" s="79">
        <v>1000.0</v>
      </c>
      <c r="Q30" s="79">
        <v>2000.0</v>
      </c>
    </row>
    <row r="31">
      <c r="B31" s="78" t="s">
        <v>197</v>
      </c>
      <c r="C31" s="81">
        <f t="shared" ref="C31:Q31" si="1">C30*$L$10</f>
        <v>0.00047194745</v>
      </c>
      <c r="D31" s="81">
        <f t="shared" si="1"/>
        <v>0.00235973725</v>
      </c>
      <c r="E31" s="81">
        <f t="shared" si="1"/>
        <v>0.0047194745</v>
      </c>
      <c r="F31" s="81">
        <f t="shared" si="1"/>
        <v>0.009438949</v>
      </c>
      <c r="G31" s="81">
        <f t="shared" si="1"/>
        <v>0.01085479135</v>
      </c>
      <c r="H31" s="81">
        <f t="shared" si="1"/>
        <v>0.0122706337</v>
      </c>
      <c r="I31" s="81">
        <f t="shared" si="1"/>
        <v>0.01368647605</v>
      </c>
      <c r="J31" s="81">
        <f t="shared" si="1"/>
        <v>0.0141584235</v>
      </c>
      <c r="K31" s="81">
        <f t="shared" si="1"/>
        <v>0.01557426585</v>
      </c>
      <c r="L31" s="81">
        <f t="shared" si="1"/>
        <v>0.0169901082</v>
      </c>
      <c r="M31" s="81">
        <f t="shared" si="1"/>
        <v>0.018877898</v>
      </c>
      <c r="N31" s="81">
        <f t="shared" si="1"/>
        <v>0.0235973725</v>
      </c>
      <c r="O31" s="81">
        <f t="shared" si="1"/>
        <v>0.047194745</v>
      </c>
      <c r="P31" s="81">
        <f t="shared" si="1"/>
        <v>0.47194745</v>
      </c>
      <c r="Q31" s="81">
        <f t="shared" si="1"/>
        <v>0.9438949</v>
      </c>
    </row>
    <row r="32">
      <c r="B32" s="78" t="s">
        <v>198</v>
      </c>
      <c r="C32" s="81">
        <f t="shared" ref="C32:Q32" si="2">C31*$D$18</f>
        <v>0.0006058926243</v>
      </c>
      <c r="D32" s="81">
        <f t="shared" si="2"/>
        <v>0.003029463121</v>
      </c>
      <c r="E32" s="81">
        <f t="shared" si="2"/>
        <v>0.006058926243</v>
      </c>
      <c r="F32" s="81">
        <f t="shared" si="2"/>
        <v>0.01211785249</v>
      </c>
      <c r="G32" s="81">
        <f t="shared" si="2"/>
        <v>0.01393553036</v>
      </c>
      <c r="H32" s="81">
        <f t="shared" si="2"/>
        <v>0.01575320823</v>
      </c>
      <c r="I32" s="81">
        <f t="shared" si="2"/>
        <v>0.0175708861</v>
      </c>
      <c r="J32" s="81">
        <f t="shared" si="2"/>
        <v>0.01817677873</v>
      </c>
      <c r="K32" s="81">
        <f t="shared" si="2"/>
        <v>0.0199944566</v>
      </c>
      <c r="L32" s="81">
        <f t="shared" si="2"/>
        <v>0.02181213447</v>
      </c>
      <c r="M32" s="81">
        <f t="shared" si="2"/>
        <v>0.02423570497</v>
      </c>
      <c r="N32" s="81">
        <f t="shared" si="2"/>
        <v>0.03029463121</v>
      </c>
      <c r="O32" s="81">
        <f t="shared" si="2"/>
        <v>0.06058926243</v>
      </c>
      <c r="P32" s="81">
        <f t="shared" si="2"/>
        <v>0.6058926243</v>
      </c>
      <c r="Q32" s="81">
        <f t="shared" si="2"/>
        <v>1.211785249</v>
      </c>
    </row>
    <row r="33">
      <c r="B33" s="78" t="s">
        <v>200</v>
      </c>
      <c r="C33" s="83">
        <f t="shared" ref="C33:Q33" si="3">C32/($D$18*$H$20)</f>
        <v>0.05225142932</v>
      </c>
      <c r="D33" s="83">
        <f t="shared" si="3"/>
        <v>0.2612571466</v>
      </c>
      <c r="E33" s="83">
        <f t="shared" si="3"/>
        <v>0.5225142932</v>
      </c>
      <c r="F33" s="83">
        <f t="shared" si="3"/>
        <v>1.045028586</v>
      </c>
      <c r="G33" s="83">
        <f t="shared" si="3"/>
        <v>1.201782874</v>
      </c>
      <c r="H33" s="83">
        <f t="shared" si="3"/>
        <v>1.358537162</v>
      </c>
      <c r="I33" s="83">
        <f t="shared" si="3"/>
        <v>1.51529145</v>
      </c>
      <c r="J33" s="83">
        <f t="shared" si="3"/>
        <v>1.56754288</v>
      </c>
      <c r="K33" s="83">
        <f t="shared" si="3"/>
        <v>1.724297168</v>
      </c>
      <c r="L33" s="83">
        <f t="shared" si="3"/>
        <v>1.881051456</v>
      </c>
      <c r="M33" s="83">
        <f t="shared" si="3"/>
        <v>2.090057173</v>
      </c>
      <c r="N33" s="83">
        <f t="shared" si="3"/>
        <v>2.612571466</v>
      </c>
      <c r="O33" s="83">
        <f t="shared" si="3"/>
        <v>5.225142932</v>
      </c>
      <c r="P33" s="83">
        <f t="shared" si="3"/>
        <v>52.25142932</v>
      </c>
      <c r="Q33" s="83">
        <f t="shared" si="3"/>
        <v>104.5028586</v>
      </c>
    </row>
    <row r="34">
      <c r="B34" s="78" t="s">
        <v>201</v>
      </c>
      <c r="C34" s="85">
        <f t="shared" ref="C34:Q34" si="4">4*C32/($D$19*PI()*$H$23)</f>
        <v>462.9660511</v>
      </c>
      <c r="D34" s="85">
        <f t="shared" si="4"/>
        <v>2314.830256</v>
      </c>
      <c r="E34" s="85">
        <f t="shared" si="4"/>
        <v>4629.660511</v>
      </c>
      <c r="F34" s="85">
        <f t="shared" si="4"/>
        <v>9259.321022</v>
      </c>
      <c r="G34" s="85">
        <f t="shared" si="4"/>
        <v>10648.21918</v>
      </c>
      <c r="H34" s="85">
        <f t="shared" si="4"/>
        <v>12037.11733</v>
      </c>
      <c r="I34" s="85">
        <f t="shared" si="4"/>
        <v>13426.01548</v>
      </c>
      <c r="J34" s="85">
        <f t="shared" si="4"/>
        <v>13888.98153</v>
      </c>
      <c r="K34" s="85">
        <f t="shared" si="4"/>
        <v>15277.87969</v>
      </c>
      <c r="L34" s="85">
        <f t="shared" si="4"/>
        <v>16666.77784</v>
      </c>
      <c r="M34" s="85">
        <f t="shared" si="4"/>
        <v>18518.64204</v>
      </c>
      <c r="N34" s="85">
        <f t="shared" si="4"/>
        <v>23148.30256</v>
      </c>
      <c r="O34" s="85">
        <f t="shared" si="4"/>
        <v>46296.60511</v>
      </c>
      <c r="P34" s="85">
        <f t="shared" si="4"/>
        <v>462966.0511</v>
      </c>
      <c r="Q34" s="85">
        <f t="shared" si="4"/>
        <v>925932.1022</v>
      </c>
    </row>
    <row r="35">
      <c r="B35" s="78" t="s">
        <v>202</v>
      </c>
      <c r="C35" s="87" t="str">
        <f t="shared" ref="C35:Q35" si="5">if(C34&gt;2300,if(C34&lt;10000,"Transitional","Turbulent"),"Laminar")</f>
        <v>Laminar</v>
      </c>
      <c r="D35" s="87" t="str">
        <f t="shared" si="5"/>
        <v>Transitional</v>
      </c>
      <c r="E35" s="87" t="str">
        <f t="shared" si="5"/>
        <v>Transitional</v>
      </c>
      <c r="F35" s="87" t="str">
        <f t="shared" si="5"/>
        <v>Transitional</v>
      </c>
      <c r="G35" s="87" t="str">
        <f t="shared" si="5"/>
        <v>Turbulent</v>
      </c>
      <c r="H35" s="87" t="str">
        <f t="shared" si="5"/>
        <v>Turbulent</v>
      </c>
      <c r="I35" s="87" t="str">
        <f t="shared" si="5"/>
        <v>Turbulent</v>
      </c>
      <c r="J35" s="87" t="str">
        <f t="shared" si="5"/>
        <v>Turbulent</v>
      </c>
      <c r="K35" s="87" t="str">
        <f t="shared" si="5"/>
        <v>Turbulent</v>
      </c>
      <c r="L35" s="87" t="str">
        <f t="shared" si="5"/>
        <v>Turbulent</v>
      </c>
      <c r="M35" s="87" t="str">
        <f t="shared" si="5"/>
        <v>Turbulent</v>
      </c>
      <c r="N35" s="87" t="str">
        <f t="shared" si="5"/>
        <v>Turbulent</v>
      </c>
      <c r="O35" s="87" t="str">
        <f t="shared" si="5"/>
        <v>Turbulent</v>
      </c>
      <c r="P35" s="87" t="str">
        <f t="shared" si="5"/>
        <v>Turbulent</v>
      </c>
      <c r="Q35" s="87" t="str">
        <f t="shared" si="5"/>
        <v>Turbulent</v>
      </c>
    </row>
    <row r="36">
      <c r="B36" s="78" t="s">
        <v>203</v>
      </c>
      <c r="C36" s="89">
        <f t="shared" ref="C36:K36" si="6">if(C35="Laminar",0.05*C34*$D$14*$H$23,10*$H$23)</f>
        <v>1.461097709</v>
      </c>
      <c r="D36" s="89">
        <f t="shared" si="6"/>
        <v>0.889</v>
      </c>
      <c r="E36" s="89">
        <f t="shared" si="6"/>
        <v>0.889</v>
      </c>
      <c r="F36" s="89">
        <f t="shared" si="6"/>
        <v>0.889</v>
      </c>
      <c r="G36" s="89">
        <f t="shared" si="6"/>
        <v>0.889</v>
      </c>
      <c r="H36" s="89">
        <f t="shared" si="6"/>
        <v>0.889</v>
      </c>
      <c r="I36" s="89">
        <f t="shared" si="6"/>
        <v>0.889</v>
      </c>
      <c r="J36" s="89">
        <f t="shared" si="6"/>
        <v>0.889</v>
      </c>
      <c r="K36" s="89">
        <f t="shared" si="6"/>
        <v>0.889</v>
      </c>
      <c r="L36" s="89">
        <f t="shared" ref="L36:P36" si="7">if(L35="laminar",0.05*$C$34*$D$14*$H$23,10*$H$23)</f>
        <v>0.889</v>
      </c>
      <c r="M36" s="89">
        <f t="shared" si="7"/>
        <v>0.889</v>
      </c>
      <c r="N36" s="89">
        <f t="shared" si="7"/>
        <v>0.889</v>
      </c>
      <c r="O36" s="89">
        <f t="shared" si="7"/>
        <v>0.889</v>
      </c>
      <c r="P36" s="89">
        <f t="shared" si="7"/>
        <v>0.889</v>
      </c>
      <c r="Q36" s="89">
        <f>10*$H$23</f>
        <v>0.889</v>
      </c>
    </row>
    <row r="37">
      <c r="B37" s="78" t="s">
        <v>204</v>
      </c>
      <c r="C37" s="91">
        <f t="shared" ref="C37:D37" si="8">if(C35="Laminar",$H$24, 0.023*C34^0.8*$D$14^0.4)</f>
        <v>4</v>
      </c>
      <c r="D37" s="91">
        <f t="shared" si="8"/>
        <v>9.859309399</v>
      </c>
      <c r="E37" s="91">
        <f t="shared" ref="E37:H37" si="9">if(E35="Laminar",$H$22, 0.023*E34^0.8*$D$14^0.4)</f>
        <v>17.1660547</v>
      </c>
      <c r="F37" s="91">
        <f t="shared" si="9"/>
        <v>29.88783718</v>
      </c>
      <c r="G37" s="91">
        <f t="shared" si="9"/>
        <v>33.42356427</v>
      </c>
      <c r="H37" s="91">
        <f t="shared" si="9"/>
        <v>36.86796534</v>
      </c>
      <c r="I37" s="91">
        <f t="shared" ref="I37:Q37" si="10">if(I35="Laminar",$H$24, 0.023*I34^0.8*$D$14^0.4)</f>
        <v>40.23359968</v>
      </c>
      <c r="J37" s="91">
        <f t="shared" si="10"/>
        <v>41.33971668</v>
      </c>
      <c r="K37" s="91">
        <f t="shared" si="10"/>
        <v>44.61507671</v>
      </c>
      <c r="L37" s="91">
        <f t="shared" si="10"/>
        <v>47.83133393</v>
      </c>
      <c r="M37" s="91">
        <f t="shared" si="10"/>
        <v>52.03774698</v>
      </c>
      <c r="N37" s="91">
        <f t="shared" si="10"/>
        <v>62.20803676</v>
      </c>
      <c r="O37" s="91">
        <f t="shared" si="10"/>
        <v>108.3104829</v>
      </c>
      <c r="P37" s="91">
        <f t="shared" si="10"/>
        <v>683.3929467</v>
      </c>
      <c r="Q37" s="91">
        <f t="shared" si="10"/>
        <v>1189.856229</v>
      </c>
    </row>
    <row r="38">
      <c r="B38" s="78" t="s">
        <v>205</v>
      </c>
      <c r="C38" s="85">
        <f t="shared" ref="C38:Q38" si="11">C37*$D$16/$H$23</f>
        <v>1.106411699</v>
      </c>
      <c r="D38" s="85">
        <f t="shared" si="11"/>
        <v>2.727113815</v>
      </c>
      <c r="E38" s="85">
        <f t="shared" si="11"/>
        <v>4.748180935</v>
      </c>
      <c r="F38" s="85">
        <f t="shared" si="11"/>
        <v>8.267063175</v>
      </c>
      <c r="G38" s="85">
        <f t="shared" si="11"/>
        <v>9.245055628</v>
      </c>
      <c r="H38" s="85">
        <f t="shared" si="11"/>
        <v>10.19778704</v>
      </c>
      <c r="I38" s="85">
        <f t="shared" si="11"/>
        <v>11.12873134</v>
      </c>
      <c r="J38" s="85">
        <f t="shared" si="11"/>
        <v>11.43468654</v>
      </c>
      <c r="K38" s="85">
        <f t="shared" si="11"/>
        <v>12.3406607</v>
      </c>
      <c r="L38" s="85">
        <f t="shared" si="11"/>
        <v>13.23028685</v>
      </c>
      <c r="M38" s="85">
        <f t="shared" si="11"/>
        <v>14.39379301</v>
      </c>
      <c r="N38" s="85">
        <f t="shared" si="11"/>
        <v>17.2069249</v>
      </c>
      <c r="O38" s="85">
        <f t="shared" si="11"/>
        <v>29.95899634</v>
      </c>
      <c r="P38" s="85">
        <f t="shared" si="11"/>
        <v>189.0284877</v>
      </c>
      <c r="Q38" s="85">
        <f t="shared" si="11"/>
        <v>329.1177129</v>
      </c>
    </row>
    <row r="39">
      <c r="A39" s="1"/>
      <c r="B39" s="96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</row>
    <row r="40">
      <c r="A40" s="1"/>
      <c r="B40" s="78" t="s">
        <v>206</v>
      </c>
      <c r="C40" s="87">
        <f t="shared" ref="C40:Q40" si="12">$L$8*1000/(C32*$D$13)+$D$15</f>
        <v>-120.7496196</v>
      </c>
      <c r="D40" s="87">
        <f t="shared" si="12"/>
        <v>-20.94992391</v>
      </c>
      <c r="E40" s="87">
        <f t="shared" si="12"/>
        <v>-8.474961957</v>
      </c>
      <c r="F40" s="87">
        <f t="shared" si="12"/>
        <v>-2.237480978</v>
      </c>
      <c r="G40" s="87">
        <f t="shared" si="12"/>
        <v>-1.423896503</v>
      </c>
      <c r="H40" s="87">
        <f t="shared" si="12"/>
        <v>-0.798062291</v>
      </c>
      <c r="I40" s="87">
        <f t="shared" si="12"/>
        <v>-0.3017110195</v>
      </c>
      <c r="J40" s="87">
        <f t="shared" si="12"/>
        <v>-0.1583206522</v>
      </c>
      <c r="K40" s="87">
        <f t="shared" si="12"/>
        <v>0.219708498</v>
      </c>
      <c r="L40" s="87">
        <f t="shared" si="12"/>
        <v>0.5347327898</v>
      </c>
      <c r="M40" s="87">
        <f t="shared" si="12"/>
        <v>0.8812595109</v>
      </c>
      <c r="N40" s="87">
        <f t="shared" si="12"/>
        <v>1.505007609</v>
      </c>
      <c r="O40" s="87">
        <f t="shared" si="12"/>
        <v>2.752503804</v>
      </c>
      <c r="P40" s="87">
        <f t="shared" si="12"/>
        <v>3.87525038</v>
      </c>
      <c r="Q40" s="87">
        <f t="shared" si="12"/>
        <v>3.93762519</v>
      </c>
    </row>
    <row r="41">
      <c r="A41" s="1"/>
      <c r="B41" s="78" t="s">
        <v>207</v>
      </c>
      <c r="C41" s="93">
        <f t="shared" ref="C41:Q41" si="13">$H$11-($H$11-$D$15)*exp(-1*C38*$H$26/(C32*$D$13))</f>
        <v>2.526335941</v>
      </c>
      <c r="D41" s="93">
        <f t="shared" si="13"/>
        <v>3.189182845</v>
      </c>
      <c r="E41" s="93">
        <f t="shared" si="13"/>
        <v>3.28408757</v>
      </c>
      <c r="F41" s="93">
        <f t="shared" si="13"/>
        <v>3.369003483</v>
      </c>
      <c r="G41" s="93">
        <f t="shared" si="13"/>
        <v>3.384984551</v>
      </c>
      <c r="H41" s="93">
        <f t="shared" si="13"/>
        <v>3.398700427</v>
      </c>
      <c r="I41" s="93">
        <f t="shared" si="13"/>
        <v>3.410682105</v>
      </c>
      <c r="J41" s="93">
        <f t="shared" si="13"/>
        <v>3.414357404</v>
      </c>
      <c r="K41" s="93">
        <f t="shared" si="13"/>
        <v>3.424578314</v>
      </c>
      <c r="L41" s="93">
        <f t="shared" si="13"/>
        <v>3.433766674</v>
      </c>
      <c r="M41" s="93">
        <f t="shared" si="13"/>
        <v>3.444712808</v>
      </c>
      <c r="N41" s="93">
        <f t="shared" si="13"/>
        <v>3.467257106</v>
      </c>
      <c r="O41" s="93">
        <f t="shared" si="13"/>
        <v>3.532006418</v>
      </c>
      <c r="P41" s="93">
        <f t="shared" si="13"/>
        <v>3.697975234</v>
      </c>
      <c r="Q41" s="93">
        <f t="shared" si="13"/>
        <v>3.735749142</v>
      </c>
    </row>
    <row r="42">
      <c r="A42" s="1"/>
    </row>
    <row r="43">
      <c r="A43" s="1"/>
    </row>
    <row r="44">
      <c r="A44" s="1"/>
    </row>
    <row r="46">
      <c r="D46" s="81"/>
    </row>
  </sheetData>
  <mergeCells count="9">
    <mergeCell ref="F15:I15"/>
    <mergeCell ref="B17:E17"/>
    <mergeCell ref="B2:O2"/>
    <mergeCell ref="B3:O4"/>
    <mergeCell ref="B5:E5"/>
    <mergeCell ref="F5:I5"/>
    <mergeCell ref="J5:M5"/>
    <mergeCell ref="B6:E6"/>
    <mergeCell ref="F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</cols>
  <sheetData>
    <row r="2">
      <c r="B2" s="47" t="s">
        <v>221</v>
      </c>
    </row>
    <row r="4">
      <c r="B4" s="1" t="s">
        <v>222</v>
      </c>
      <c r="C4" s="1">
        <v>1.0</v>
      </c>
    </row>
    <row r="5">
      <c r="B5" s="1" t="s">
        <v>223</v>
      </c>
      <c r="C5" s="6">
        <f>C4*'STEP 3'!L11</f>
        <v>0.0254</v>
      </c>
    </row>
    <row r="6">
      <c r="B6" s="1" t="s">
        <v>224</v>
      </c>
      <c r="C6" s="1">
        <v>10.0</v>
      </c>
    </row>
    <row r="7">
      <c r="B7" s="1" t="s">
        <v>225</v>
      </c>
      <c r="C7" s="6">
        <f>C5/C6</f>
        <v>0.00254</v>
      </c>
    </row>
    <row r="9">
      <c r="C9" s="79" t="s">
        <v>226</v>
      </c>
    </row>
    <row r="10">
      <c r="C10" s="1" t="s">
        <v>227</v>
      </c>
      <c r="D10" s="1">
        <v>0.5</v>
      </c>
      <c r="E10" s="1">
        <v>1.0</v>
      </c>
      <c r="F10" s="1">
        <v>1.5</v>
      </c>
      <c r="G10" s="1">
        <v>2.0</v>
      </c>
      <c r="H10" s="1">
        <v>2.5</v>
      </c>
      <c r="I10" s="1">
        <v>3.0</v>
      </c>
    </row>
    <row r="11">
      <c r="A11" s="1" t="s">
        <v>228</v>
      </c>
      <c r="B11" s="1" t="s">
        <v>229</v>
      </c>
      <c r="C11" s="1" t="s">
        <v>230</v>
      </c>
      <c r="D11" s="6">
        <f t="shared" ref="D11:I11" si="1">D10*3600</f>
        <v>1800</v>
      </c>
      <c r="E11" s="6">
        <f t="shared" si="1"/>
        <v>3600</v>
      </c>
      <c r="F11" s="6">
        <f t="shared" si="1"/>
        <v>5400</v>
      </c>
      <c r="G11" s="6">
        <f t="shared" si="1"/>
        <v>7200</v>
      </c>
      <c r="H11" s="6">
        <f t="shared" si="1"/>
        <v>9000</v>
      </c>
      <c r="I11" s="6">
        <f t="shared" si="1"/>
        <v>10800</v>
      </c>
    </row>
    <row r="12">
      <c r="A12" s="1">
        <v>10.0</v>
      </c>
      <c r="B12" s="6">
        <f t="shared" ref="B12:B21" si="2">$C$7*A12</f>
        <v>0.0254</v>
      </c>
    </row>
    <row r="13">
      <c r="A13" s="1">
        <v>9.0</v>
      </c>
      <c r="B13" s="6">
        <f t="shared" si="2"/>
        <v>0.02286</v>
      </c>
    </row>
    <row r="14">
      <c r="A14" s="1">
        <v>8.0</v>
      </c>
      <c r="B14" s="6">
        <f t="shared" si="2"/>
        <v>0.02032</v>
      </c>
    </row>
    <row r="15">
      <c r="A15" s="1">
        <v>7.0</v>
      </c>
      <c r="B15" s="6">
        <f t="shared" si="2"/>
        <v>0.01778</v>
      </c>
    </row>
    <row r="16">
      <c r="A16" s="1">
        <v>6.0</v>
      </c>
      <c r="B16" s="6">
        <f t="shared" si="2"/>
        <v>0.01524</v>
      </c>
    </row>
    <row r="17">
      <c r="A17" s="1">
        <v>5.0</v>
      </c>
      <c r="B17" s="6">
        <f t="shared" si="2"/>
        <v>0.0127</v>
      </c>
    </row>
    <row r="18">
      <c r="A18" s="1">
        <v>4.0</v>
      </c>
      <c r="B18" s="6">
        <f t="shared" si="2"/>
        <v>0.01016</v>
      </c>
    </row>
    <row r="19">
      <c r="A19" s="1">
        <v>3.0</v>
      </c>
      <c r="B19" s="6">
        <f t="shared" si="2"/>
        <v>0.00762</v>
      </c>
    </row>
    <row r="20">
      <c r="A20" s="1">
        <v>2.0</v>
      </c>
      <c r="B20" s="6">
        <f t="shared" si="2"/>
        <v>0.00508</v>
      </c>
    </row>
    <row r="21">
      <c r="A21" s="1">
        <v>1.0</v>
      </c>
      <c r="B21" s="6">
        <f t="shared" si="2"/>
        <v>0.00254</v>
      </c>
    </row>
    <row r="22">
      <c r="A22" s="1" t="s">
        <v>231</v>
      </c>
      <c r="B22" s="1">
        <v>0.0</v>
      </c>
    </row>
  </sheetData>
  <mergeCells count="1">
    <mergeCell ref="C9:J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5" max="5" width="25.5"/>
  </cols>
  <sheetData>
    <row r="2">
      <c r="B2" s="47" t="s">
        <v>232</v>
      </c>
    </row>
    <row r="4">
      <c r="B4" s="1" t="s">
        <v>222</v>
      </c>
      <c r="C4" s="1">
        <v>1.0</v>
      </c>
      <c r="E4" s="1" t="s">
        <v>233</v>
      </c>
      <c r="F4" s="1">
        <v>-3.0</v>
      </c>
    </row>
    <row r="5">
      <c r="B5" s="1" t="s">
        <v>223</v>
      </c>
      <c r="C5" s="6">
        <f>C4*'STEP 3'!L11</f>
        <v>0.0254</v>
      </c>
      <c r="E5" s="1" t="s">
        <v>234</v>
      </c>
      <c r="F5" s="1">
        <v>0.0</v>
      </c>
    </row>
    <row r="6">
      <c r="B6" s="1" t="s">
        <v>235</v>
      </c>
      <c r="C6" s="52">
        <f>'STEP 1'!A27</f>
        <v>163.4585946</v>
      </c>
    </row>
    <row r="7">
      <c r="B7" s="1" t="s">
        <v>236</v>
      </c>
      <c r="C7" s="95">
        <f>C6*'STEP 3'!L11^3</f>
        <v>0.002678606451</v>
      </c>
      <c r="E7" s="1" t="s">
        <v>237</v>
      </c>
      <c r="F7" s="1">
        <v>2.09</v>
      </c>
    </row>
    <row r="8">
      <c r="B8" s="1" t="s">
        <v>238</v>
      </c>
      <c r="C8" s="1">
        <f>'Preliminary Calc'!B52</f>
        <v>917</v>
      </c>
      <c r="E8" s="1" t="s">
        <v>239</v>
      </c>
      <c r="F8" s="1">
        <v>334.0</v>
      </c>
    </row>
    <row r="9">
      <c r="B9" s="1" t="s">
        <v>240</v>
      </c>
      <c r="C9" s="55">
        <f>C8*C7</f>
        <v>2.456282115</v>
      </c>
      <c r="E9" s="1" t="s">
        <v>241</v>
      </c>
      <c r="F9" s="1">
        <v>4.18</v>
      </c>
    </row>
    <row r="11">
      <c r="B11" s="1" t="s">
        <v>242</v>
      </c>
      <c r="C11" s="1" t="s">
        <v>243</v>
      </c>
      <c r="E11" s="1" t="s">
        <v>244</v>
      </c>
    </row>
    <row r="12">
      <c r="B12" s="1" t="s">
        <v>59</v>
      </c>
      <c r="C12" s="1" t="s">
        <v>245</v>
      </c>
      <c r="E12" s="6">
        <f>D18/(C9*F7)</f>
        <v>4.439128123</v>
      </c>
    </row>
    <row r="13">
      <c r="B13" s="1" t="s">
        <v>246</v>
      </c>
      <c r="C13" s="20">
        <f>'STEP 3'!L8*-1</f>
        <v>0.07596279875</v>
      </c>
    </row>
    <row r="15">
      <c r="B15" s="1" t="s">
        <v>247</v>
      </c>
    </row>
    <row r="16">
      <c r="B16" s="1" t="s">
        <v>248</v>
      </c>
      <c r="C16" s="1" t="s">
        <v>230</v>
      </c>
      <c r="D16" s="1" t="s">
        <v>249</v>
      </c>
      <c r="E16" s="1" t="s">
        <v>250</v>
      </c>
      <c r="F16" s="1" t="s">
        <v>251</v>
      </c>
      <c r="H16" s="1" t="s">
        <v>252</v>
      </c>
    </row>
    <row r="17">
      <c r="A17" s="1">
        <v>0.0</v>
      </c>
      <c r="B17" s="1">
        <f t="shared" ref="B17:B32" si="1">A17*5</f>
        <v>0</v>
      </c>
      <c r="C17" s="6">
        <f t="shared" ref="C17:C32" si="2">B17*60</f>
        <v>0</v>
      </c>
      <c r="D17" s="6">
        <f t="shared" ref="D17:D32" si="3">$C$13*C17</f>
        <v>0</v>
      </c>
      <c r="E17" s="6">
        <f>F4</f>
        <v>-3</v>
      </c>
      <c r="H17" s="96" t="str">
        <f t="shared" ref="H17:H32" si="4">if(E17&lt;0,"Frozen,heating",if(E17&gt;0,"Liquid,heating","Melting"))</f>
        <v>Frozen,heating</v>
      </c>
    </row>
    <row r="18">
      <c r="A18" s="1">
        <v>1.0</v>
      </c>
      <c r="B18" s="1">
        <f t="shared" si="1"/>
        <v>5</v>
      </c>
      <c r="C18" s="6">
        <f t="shared" si="2"/>
        <v>300</v>
      </c>
      <c r="D18" s="97">
        <f t="shared" si="3"/>
        <v>22.78883962</v>
      </c>
      <c r="E18" s="6">
        <f>E17+D18/(C9*F7)</f>
        <v>1.439128123</v>
      </c>
      <c r="H18" s="96" t="str">
        <f t="shared" si="4"/>
        <v>Liquid,heating</v>
      </c>
    </row>
    <row r="19">
      <c r="A19" s="1">
        <v>2.0</v>
      </c>
      <c r="B19" s="1">
        <f t="shared" si="1"/>
        <v>10</v>
      </c>
      <c r="C19" s="6">
        <f t="shared" si="2"/>
        <v>600</v>
      </c>
      <c r="D19" s="97">
        <f t="shared" si="3"/>
        <v>45.57767925</v>
      </c>
      <c r="H19" s="96" t="str">
        <f t="shared" si="4"/>
        <v>Melting</v>
      </c>
    </row>
    <row r="20">
      <c r="A20" s="1">
        <v>3.0</v>
      </c>
      <c r="B20" s="1">
        <f t="shared" si="1"/>
        <v>15</v>
      </c>
      <c r="C20" s="6">
        <f t="shared" si="2"/>
        <v>900</v>
      </c>
      <c r="D20" s="97">
        <f t="shared" si="3"/>
        <v>68.36651887</v>
      </c>
      <c r="H20" s="96" t="str">
        <f t="shared" si="4"/>
        <v>Melting</v>
      </c>
    </row>
    <row r="21">
      <c r="A21" s="1">
        <v>4.0</v>
      </c>
      <c r="B21" s="1">
        <f t="shared" si="1"/>
        <v>20</v>
      </c>
      <c r="C21" s="6">
        <f t="shared" si="2"/>
        <v>1200</v>
      </c>
      <c r="D21" s="97">
        <f t="shared" si="3"/>
        <v>91.1553585</v>
      </c>
      <c r="H21" s="96" t="str">
        <f t="shared" si="4"/>
        <v>Melting</v>
      </c>
    </row>
    <row r="22">
      <c r="A22" s="1">
        <v>5.0</v>
      </c>
      <c r="B22" s="1">
        <f t="shared" si="1"/>
        <v>25</v>
      </c>
      <c r="C22" s="6">
        <f t="shared" si="2"/>
        <v>1500</v>
      </c>
      <c r="D22" s="97">
        <f t="shared" si="3"/>
        <v>113.9441981</v>
      </c>
      <c r="H22" s="96" t="str">
        <f t="shared" si="4"/>
        <v>Melting</v>
      </c>
    </row>
    <row r="23">
      <c r="A23" s="1">
        <v>6.0</v>
      </c>
      <c r="B23" s="1">
        <f t="shared" si="1"/>
        <v>30</v>
      </c>
      <c r="C23" s="6">
        <f t="shared" si="2"/>
        <v>1800</v>
      </c>
      <c r="D23" s="97">
        <f t="shared" si="3"/>
        <v>136.7330377</v>
      </c>
      <c r="H23" s="96" t="str">
        <f t="shared" si="4"/>
        <v>Melting</v>
      </c>
    </row>
    <row r="24">
      <c r="A24" s="1">
        <v>7.0</v>
      </c>
      <c r="B24" s="1">
        <f t="shared" si="1"/>
        <v>35</v>
      </c>
      <c r="C24" s="6">
        <f t="shared" si="2"/>
        <v>2100</v>
      </c>
      <c r="D24" s="97">
        <f t="shared" si="3"/>
        <v>159.5218774</v>
      </c>
      <c r="H24" s="96" t="str">
        <f t="shared" si="4"/>
        <v>Melting</v>
      </c>
    </row>
    <row r="25">
      <c r="A25" s="1">
        <v>8.0</v>
      </c>
      <c r="B25" s="1">
        <f t="shared" si="1"/>
        <v>40</v>
      </c>
      <c r="C25" s="6">
        <f t="shared" si="2"/>
        <v>2400</v>
      </c>
      <c r="D25" s="97">
        <f t="shared" si="3"/>
        <v>182.310717</v>
      </c>
      <c r="H25" s="96" t="str">
        <f t="shared" si="4"/>
        <v>Melting</v>
      </c>
    </row>
    <row r="26">
      <c r="A26" s="1">
        <v>9.0</v>
      </c>
      <c r="B26" s="1">
        <f t="shared" si="1"/>
        <v>45</v>
      </c>
      <c r="C26" s="6">
        <f t="shared" si="2"/>
        <v>2700</v>
      </c>
      <c r="D26" s="97">
        <f t="shared" si="3"/>
        <v>205.0995566</v>
      </c>
      <c r="H26" s="96" t="str">
        <f t="shared" si="4"/>
        <v>Melting</v>
      </c>
    </row>
    <row r="27">
      <c r="A27" s="1">
        <v>10.0</v>
      </c>
      <c r="B27" s="1">
        <f t="shared" si="1"/>
        <v>50</v>
      </c>
      <c r="C27" s="6">
        <f t="shared" si="2"/>
        <v>3000</v>
      </c>
      <c r="D27" s="97">
        <f t="shared" si="3"/>
        <v>227.8883962</v>
      </c>
      <c r="H27" s="96" t="str">
        <f t="shared" si="4"/>
        <v>Melting</v>
      </c>
    </row>
    <row r="28">
      <c r="A28" s="1">
        <v>11.0</v>
      </c>
      <c r="B28" s="1">
        <f t="shared" si="1"/>
        <v>55</v>
      </c>
      <c r="C28" s="6">
        <f t="shared" si="2"/>
        <v>3300</v>
      </c>
      <c r="D28" s="97">
        <f t="shared" si="3"/>
        <v>250.6772359</v>
      </c>
      <c r="H28" s="96" t="str">
        <f t="shared" si="4"/>
        <v>Melting</v>
      </c>
    </row>
    <row r="29">
      <c r="A29" s="1">
        <v>12.0</v>
      </c>
      <c r="B29" s="1">
        <f t="shared" si="1"/>
        <v>60</v>
      </c>
      <c r="C29" s="6">
        <f t="shared" si="2"/>
        <v>3600</v>
      </c>
      <c r="D29" s="97">
        <f t="shared" si="3"/>
        <v>273.4660755</v>
      </c>
      <c r="H29" s="96" t="str">
        <f t="shared" si="4"/>
        <v>Melting</v>
      </c>
    </row>
    <row r="30">
      <c r="A30" s="1">
        <v>13.0</v>
      </c>
      <c r="B30" s="1">
        <f t="shared" si="1"/>
        <v>65</v>
      </c>
      <c r="C30" s="6">
        <f t="shared" si="2"/>
        <v>3900</v>
      </c>
      <c r="D30" s="97">
        <f t="shared" si="3"/>
        <v>296.2549151</v>
      </c>
      <c r="H30" s="96" t="str">
        <f t="shared" si="4"/>
        <v>Melting</v>
      </c>
    </row>
    <row r="31">
      <c r="A31" s="1">
        <v>14.0</v>
      </c>
      <c r="B31" s="1">
        <f t="shared" si="1"/>
        <v>70</v>
      </c>
      <c r="C31" s="6">
        <f t="shared" si="2"/>
        <v>4200</v>
      </c>
      <c r="D31" s="97">
        <f t="shared" si="3"/>
        <v>319.0437547</v>
      </c>
      <c r="H31" s="96" t="str">
        <f t="shared" si="4"/>
        <v>Melting</v>
      </c>
    </row>
    <row r="32">
      <c r="A32" s="1">
        <v>15.0</v>
      </c>
      <c r="B32" s="1">
        <f t="shared" si="1"/>
        <v>75</v>
      </c>
      <c r="C32" s="6">
        <f t="shared" si="2"/>
        <v>4500</v>
      </c>
      <c r="D32" s="97">
        <f t="shared" si="3"/>
        <v>341.8325944</v>
      </c>
      <c r="H32" s="96" t="str">
        <f t="shared" si="4"/>
        <v>Melting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26.25"/>
    <col customWidth="1" min="5" max="5" width="14.25"/>
    <col customWidth="1" min="6" max="6" width="19.88"/>
    <col customWidth="1" min="7" max="7" width="23.25"/>
    <col customWidth="1" min="10" max="10" width="14.88"/>
    <col customWidth="1" min="11" max="11" width="25.0"/>
    <col customWidth="1" min="13" max="13" width="20.88"/>
    <col customWidth="1" min="14" max="14" width="25.13"/>
  </cols>
  <sheetData>
    <row r="2">
      <c r="B2" s="47" t="s">
        <v>132</v>
      </c>
    </row>
    <row r="3">
      <c r="B3" s="56" t="s">
        <v>133</v>
      </c>
    </row>
    <row r="5">
      <c r="B5" s="57" t="s">
        <v>134</v>
      </c>
      <c r="F5" s="58" t="s">
        <v>135</v>
      </c>
      <c r="J5" s="59" t="s">
        <v>136</v>
      </c>
    </row>
    <row r="6" ht="18.0" customHeight="1">
      <c r="B6" s="60" t="s">
        <v>137</v>
      </c>
      <c r="F6" s="61" t="s">
        <v>138</v>
      </c>
      <c r="J6" s="62"/>
      <c r="K6" s="62"/>
      <c r="L6" s="62"/>
      <c r="M6" s="62"/>
    </row>
    <row r="7">
      <c r="A7" s="63"/>
      <c r="B7" s="64" t="s">
        <v>139</v>
      </c>
      <c r="C7" s="65" t="s">
        <v>140</v>
      </c>
      <c r="D7" s="65">
        <v>0.287</v>
      </c>
      <c r="E7" s="66"/>
      <c r="F7" s="67" t="s">
        <v>139</v>
      </c>
      <c r="G7" s="68" t="s">
        <v>141</v>
      </c>
      <c r="H7" s="68">
        <v>0.1</v>
      </c>
      <c r="I7" s="69"/>
      <c r="J7" s="70" t="s">
        <v>139</v>
      </c>
      <c r="K7" s="15" t="s">
        <v>142</v>
      </c>
      <c r="L7" s="71">
        <f>'STEP 1'!A21</f>
        <v>820.3982265</v>
      </c>
      <c r="M7" s="62"/>
    </row>
    <row r="8">
      <c r="A8" s="63"/>
      <c r="B8" s="64" t="s">
        <v>143</v>
      </c>
      <c r="C8" s="65" t="s">
        <v>144</v>
      </c>
      <c r="D8" s="65">
        <v>101.325</v>
      </c>
      <c r="E8" s="66"/>
      <c r="F8" s="67" t="s">
        <v>143</v>
      </c>
      <c r="G8" s="68" t="s">
        <v>145</v>
      </c>
      <c r="H8" s="68">
        <v>0.04</v>
      </c>
      <c r="I8" s="69"/>
      <c r="J8" s="70" t="s">
        <v>143</v>
      </c>
      <c r="K8" s="15" t="s">
        <v>146</v>
      </c>
      <c r="L8" s="17">
        <f>L7/3/3600*-1</f>
        <v>-0.07596279875</v>
      </c>
      <c r="M8" s="62"/>
    </row>
    <row r="9">
      <c r="A9" s="63"/>
      <c r="B9" s="64" t="s">
        <v>147</v>
      </c>
      <c r="C9" s="65" t="s">
        <v>148</v>
      </c>
      <c r="D9" s="66">
        <f>4+273</f>
        <v>277</v>
      </c>
      <c r="E9" s="66"/>
      <c r="F9" s="67" t="s">
        <v>147</v>
      </c>
      <c r="G9" s="68" t="s">
        <v>149</v>
      </c>
      <c r="H9" s="68">
        <v>14.0</v>
      </c>
      <c r="I9" s="69"/>
      <c r="J9" s="70" t="s">
        <v>147</v>
      </c>
      <c r="K9" s="15" t="s">
        <v>150</v>
      </c>
      <c r="L9" s="15">
        <v>2.77778</v>
      </c>
      <c r="M9" s="15" t="s">
        <v>151</v>
      </c>
    </row>
    <row r="10">
      <c r="A10" s="63"/>
      <c r="B10" s="64" t="s">
        <v>152</v>
      </c>
      <c r="C10" s="65" t="s">
        <v>153</v>
      </c>
      <c r="D10" s="65">
        <v>273.0</v>
      </c>
      <c r="E10" s="66"/>
      <c r="F10" s="67" t="s">
        <v>152</v>
      </c>
      <c r="G10" s="68" t="s">
        <v>154</v>
      </c>
      <c r="H10" s="68">
        <v>14.0</v>
      </c>
      <c r="I10" s="69"/>
      <c r="J10" s="70" t="s">
        <v>152</v>
      </c>
      <c r="K10" s="15" t="s">
        <v>155</v>
      </c>
      <c r="L10" s="15">
        <v>4.7194745E-4</v>
      </c>
      <c r="M10" s="15"/>
    </row>
    <row r="11">
      <c r="A11" s="63"/>
      <c r="B11" s="64" t="s">
        <v>156</v>
      </c>
      <c r="C11" s="65" t="s">
        <v>157</v>
      </c>
      <c r="D11" s="66">
        <f>average(D9:D10)</f>
        <v>275</v>
      </c>
      <c r="E11" s="66"/>
      <c r="F11" s="67" t="s">
        <v>156</v>
      </c>
      <c r="G11" s="68" t="s">
        <v>158</v>
      </c>
      <c r="H11" s="68">
        <v>1.0</v>
      </c>
      <c r="I11" s="69"/>
      <c r="J11" s="70" t="s">
        <v>156</v>
      </c>
      <c r="K11" s="15" t="s">
        <v>113</v>
      </c>
      <c r="L11" s="15">
        <v>0.0254</v>
      </c>
      <c r="M11" s="62"/>
    </row>
    <row r="12">
      <c r="A12" s="63"/>
      <c r="B12" s="64" t="s">
        <v>159</v>
      </c>
      <c r="C12" s="65" t="s">
        <v>160</v>
      </c>
      <c r="D12" s="66">
        <f>1.46*10^-5</f>
        <v>0.0000146</v>
      </c>
      <c r="E12" s="65" t="s">
        <v>161</v>
      </c>
      <c r="F12" s="67" t="s">
        <v>162</v>
      </c>
      <c r="G12" s="72" t="s">
        <v>163</v>
      </c>
      <c r="H12" s="72">
        <v>0.0</v>
      </c>
      <c r="I12" s="69"/>
      <c r="J12" s="70" t="s">
        <v>159</v>
      </c>
      <c r="K12" s="62"/>
      <c r="L12" s="62"/>
      <c r="M12" s="62"/>
    </row>
    <row r="13">
      <c r="A13" s="63"/>
      <c r="B13" s="64" t="s">
        <v>162</v>
      </c>
      <c r="C13" s="65" t="s">
        <v>164</v>
      </c>
      <c r="D13" s="65">
        <f>1.005*1000</f>
        <v>1005</v>
      </c>
      <c r="E13" s="65" t="s">
        <v>165</v>
      </c>
      <c r="F13" s="67" t="s">
        <v>166</v>
      </c>
      <c r="G13" s="68" t="s">
        <v>167</v>
      </c>
      <c r="H13" s="68">
        <v>1.0</v>
      </c>
      <c r="I13" s="69"/>
      <c r="J13" s="70" t="s">
        <v>162</v>
      </c>
      <c r="K13" s="62"/>
      <c r="L13" s="62"/>
      <c r="M13" s="62"/>
    </row>
    <row r="14">
      <c r="A14" s="63"/>
      <c r="B14" s="64" t="s">
        <v>166</v>
      </c>
      <c r="C14" s="65" t="s">
        <v>168</v>
      </c>
      <c r="D14" s="65">
        <v>0.71</v>
      </c>
      <c r="E14" s="65" t="s">
        <v>161</v>
      </c>
      <c r="F14" s="67" t="s">
        <v>169</v>
      </c>
      <c r="G14" s="68" t="s">
        <v>170</v>
      </c>
      <c r="H14" s="68">
        <v>2.0</v>
      </c>
      <c r="I14" s="69"/>
      <c r="J14" s="62"/>
      <c r="K14" s="62"/>
      <c r="L14" s="62"/>
      <c r="M14" s="62"/>
    </row>
    <row r="15">
      <c r="A15" s="63"/>
      <c r="B15" s="64" t="s">
        <v>169</v>
      </c>
      <c r="C15" s="65" t="s">
        <v>171</v>
      </c>
      <c r="D15" s="73">
        <v>4.0</v>
      </c>
      <c r="E15" s="66"/>
      <c r="F15" s="61" t="s">
        <v>172</v>
      </c>
      <c r="J15" s="62"/>
      <c r="K15" s="15" t="s">
        <v>211</v>
      </c>
      <c r="L15" s="15">
        <v>1.0</v>
      </c>
      <c r="M15" s="62"/>
    </row>
    <row r="16">
      <c r="A16" s="63"/>
      <c r="B16" s="64" t="s">
        <v>159</v>
      </c>
      <c r="C16" s="65" t="s">
        <v>173</v>
      </c>
      <c r="D16" s="65">
        <f>24.59*10^-3</f>
        <v>0.02459</v>
      </c>
      <c r="E16" s="65"/>
      <c r="F16" s="67" t="s">
        <v>174</v>
      </c>
      <c r="G16" s="68" t="s">
        <v>175</v>
      </c>
      <c r="H16" s="69">
        <f>H9/(H7+H8)</f>
        <v>100</v>
      </c>
      <c r="I16" s="69"/>
      <c r="J16" s="62"/>
      <c r="K16" s="15" t="s">
        <v>212</v>
      </c>
      <c r="L16" s="62">
        <f>L15*H9</f>
        <v>14</v>
      </c>
      <c r="M16" s="62"/>
    </row>
    <row r="17">
      <c r="B17" s="60" t="s">
        <v>176</v>
      </c>
      <c r="F17" s="67" t="s">
        <v>177</v>
      </c>
      <c r="G17" s="68" t="s">
        <v>253</v>
      </c>
      <c r="H17" s="69">
        <f>H9*H9</f>
        <v>196</v>
      </c>
      <c r="I17" s="69"/>
      <c r="J17" s="62"/>
      <c r="K17" s="15" t="s">
        <v>214</v>
      </c>
      <c r="L17" s="62">
        <f>2*L15+L16</f>
        <v>16</v>
      </c>
      <c r="M17" s="62"/>
    </row>
    <row r="18">
      <c r="B18" s="66"/>
      <c r="C18" s="65" t="s">
        <v>178</v>
      </c>
      <c r="D18" s="74">
        <f>D8/(D7*D11)</f>
        <v>1.283813747</v>
      </c>
      <c r="E18" s="66"/>
      <c r="F18" s="67" t="s">
        <v>179</v>
      </c>
      <c r="G18" s="68" t="s">
        <v>180</v>
      </c>
      <c r="H18" s="69">
        <f>H11/H7</f>
        <v>10</v>
      </c>
      <c r="I18" s="69"/>
      <c r="J18" s="62"/>
      <c r="K18" s="15" t="s">
        <v>216</v>
      </c>
      <c r="L18" s="62">
        <f>4*L16/L17</f>
        <v>3.5</v>
      </c>
      <c r="M18" s="62"/>
    </row>
    <row r="19">
      <c r="B19" s="66"/>
      <c r="C19" s="65" t="s">
        <v>181</v>
      </c>
      <c r="D19" s="66">
        <f>D12*D18</f>
        <v>0.00001874368071</v>
      </c>
      <c r="E19" s="66"/>
      <c r="F19" s="67" t="s">
        <v>182</v>
      </c>
      <c r="G19" s="68" t="s">
        <v>183</v>
      </c>
      <c r="H19" s="69">
        <f>H7*H11</f>
        <v>0.1</v>
      </c>
      <c r="I19" s="69"/>
      <c r="J19" s="62"/>
      <c r="K19" s="62"/>
      <c r="L19" s="62"/>
      <c r="M19" s="62"/>
    </row>
    <row r="20">
      <c r="B20" s="66"/>
      <c r="C20" s="66"/>
      <c r="D20" s="66"/>
      <c r="E20" s="66"/>
      <c r="F20" s="67" t="s">
        <v>184</v>
      </c>
      <c r="G20" s="68" t="s">
        <v>185</v>
      </c>
      <c r="H20" s="69">
        <f>(2*H11+H7)</f>
        <v>2.1</v>
      </c>
      <c r="I20" s="69"/>
      <c r="J20" s="62"/>
      <c r="K20" s="62"/>
      <c r="L20" s="62"/>
      <c r="M20" s="62"/>
    </row>
    <row r="21">
      <c r="B21" s="66"/>
      <c r="C21" s="66"/>
      <c r="D21" s="66"/>
      <c r="E21" s="66"/>
      <c r="F21" s="67" t="s">
        <v>186</v>
      </c>
      <c r="G21" s="68" t="s">
        <v>187</v>
      </c>
      <c r="H21" s="75">
        <f>4*H19/H20</f>
        <v>0.1904761905</v>
      </c>
      <c r="I21" s="69"/>
      <c r="J21" s="62"/>
      <c r="K21" s="62"/>
      <c r="L21" s="62"/>
      <c r="M21" s="62"/>
    </row>
    <row r="22">
      <c r="B22" s="66"/>
      <c r="C22" s="66"/>
      <c r="D22" s="66"/>
      <c r="E22" s="66"/>
      <c r="F22" s="67" t="s">
        <v>188</v>
      </c>
      <c r="G22" s="68" t="s">
        <v>189</v>
      </c>
      <c r="H22" s="76">
        <f>H21*L11</f>
        <v>0.004838095238</v>
      </c>
      <c r="I22" s="69"/>
      <c r="J22" s="62"/>
      <c r="K22" s="62"/>
      <c r="L22" s="62"/>
      <c r="M22" s="62"/>
    </row>
    <row r="23">
      <c r="B23" s="66"/>
      <c r="C23" s="66"/>
      <c r="D23" s="66"/>
      <c r="E23" s="66"/>
      <c r="F23" s="67" t="s">
        <v>190</v>
      </c>
      <c r="G23" s="68" t="s">
        <v>191</v>
      </c>
      <c r="H23" s="68">
        <v>6.0</v>
      </c>
      <c r="I23" s="69"/>
      <c r="J23" s="62"/>
      <c r="K23" s="62"/>
      <c r="L23" s="62"/>
      <c r="M23" s="62"/>
    </row>
    <row r="24">
      <c r="B24" s="66"/>
      <c r="C24" s="66"/>
      <c r="D24" s="66"/>
      <c r="E24" s="66"/>
      <c r="F24" s="67" t="s">
        <v>192</v>
      </c>
      <c r="G24" s="68" t="s">
        <v>193</v>
      </c>
      <c r="H24" s="69">
        <f>(H11*H9)*H16*H14*2</f>
        <v>5600</v>
      </c>
      <c r="I24" s="69"/>
      <c r="J24" s="62"/>
      <c r="K24" s="62"/>
      <c r="L24" s="62"/>
      <c r="M24" s="62"/>
    </row>
    <row r="25">
      <c r="B25" s="66"/>
      <c r="C25" s="66"/>
      <c r="D25" s="66"/>
      <c r="E25" s="66"/>
      <c r="F25" s="67" t="s">
        <v>194</v>
      </c>
      <c r="G25" s="68" t="s">
        <v>195</v>
      </c>
      <c r="H25" s="77">
        <f>H24*L11^2</f>
        <v>3.612896</v>
      </c>
      <c r="I25" s="69"/>
      <c r="J25" s="62"/>
      <c r="K25" s="62"/>
      <c r="L25" s="62"/>
      <c r="M25" s="62"/>
    </row>
    <row r="27">
      <c r="G27" s="6">
        <f>H19*H16</f>
        <v>10</v>
      </c>
    </row>
    <row r="28">
      <c r="D28" s="6">
        <f>H22^2*pi()/4*100</f>
        <v>0.001838394482</v>
      </c>
    </row>
    <row r="30">
      <c r="B30" s="78" t="s">
        <v>196</v>
      </c>
      <c r="C30" s="79">
        <v>1.0</v>
      </c>
      <c r="D30" s="79">
        <v>5.0</v>
      </c>
      <c r="E30" s="79">
        <v>10.0</v>
      </c>
      <c r="F30" s="79">
        <v>20.0</v>
      </c>
      <c r="G30" s="79">
        <v>23.0</v>
      </c>
      <c r="H30" s="80">
        <v>26.0</v>
      </c>
      <c r="I30" s="80">
        <v>29.0</v>
      </c>
      <c r="J30" s="80">
        <v>30.0</v>
      </c>
      <c r="K30" s="79">
        <v>33.0</v>
      </c>
      <c r="L30" s="79">
        <v>36.0</v>
      </c>
      <c r="M30" s="79">
        <v>40.0</v>
      </c>
      <c r="N30" s="79">
        <v>50.0</v>
      </c>
      <c r="O30" s="79">
        <v>100.0</v>
      </c>
      <c r="P30" s="79">
        <v>1000.0</v>
      </c>
      <c r="Q30" s="79">
        <v>2000.0</v>
      </c>
    </row>
    <row r="31">
      <c r="B31" s="78" t="s">
        <v>197</v>
      </c>
      <c r="C31" s="81">
        <f t="shared" ref="C31:Q31" si="1">C30*$L$10</f>
        <v>0.00047194745</v>
      </c>
      <c r="D31" s="81">
        <f t="shared" si="1"/>
        <v>0.00235973725</v>
      </c>
      <c r="E31" s="81">
        <f t="shared" si="1"/>
        <v>0.0047194745</v>
      </c>
      <c r="F31" s="81">
        <f t="shared" si="1"/>
        <v>0.009438949</v>
      </c>
      <c r="G31" s="81">
        <f t="shared" si="1"/>
        <v>0.01085479135</v>
      </c>
      <c r="H31" s="82">
        <f t="shared" si="1"/>
        <v>0.0122706337</v>
      </c>
      <c r="I31" s="82">
        <f t="shared" si="1"/>
        <v>0.01368647605</v>
      </c>
      <c r="J31" s="82">
        <f t="shared" si="1"/>
        <v>0.0141584235</v>
      </c>
      <c r="K31" s="81">
        <f t="shared" si="1"/>
        <v>0.01557426585</v>
      </c>
      <c r="L31" s="81">
        <f t="shared" si="1"/>
        <v>0.0169901082</v>
      </c>
      <c r="M31" s="81">
        <f t="shared" si="1"/>
        <v>0.018877898</v>
      </c>
      <c r="N31" s="81">
        <f t="shared" si="1"/>
        <v>0.0235973725</v>
      </c>
      <c r="O31" s="81">
        <f t="shared" si="1"/>
        <v>0.047194745</v>
      </c>
      <c r="P31" s="81">
        <f t="shared" si="1"/>
        <v>0.47194745</v>
      </c>
      <c r="Q31" s="81">
        <f t="shared" si="1"/>
        <v>0.9438949</v>
      </c>
    </row>
    <row r="32">
      <c r="B32" s="78" t="s">
        <v>198</v>
      </c>
      <c r="C32" s="81">
        <f t="shared" ref="C32:Q32" si="2">C31*$D$18</f>
        <v>0.0006058926243</v>
      </c>
      <c r="D32" s="81">
        <f t="shared" si="2"/>
        <v>0.003029463121</v>
      </c>
      <c r="E32" s="81">
        <f t="shared" si="2"/>
        <v>0.006058926243</v>
      </c>
      <c r="F32" s="81">
        <f t="shared" si="2"/>
        <v>0.01211785249</v>
      </c>
      <c r="G32" s="81">
        <f t="shared" si="2"/>
        <v>0.01393553036</v>
      </c>
      <c r="H32" s="82">
        <f t="shared" si="2"/>
        <v>0.01575320823</v>
      </c>
      <c r="I32" s="82">
        <f t="shared" si="2"/>
        <v>0.0175708861</v>
      </c>
      <c r="J32" s="82">
        <f t="shared" si="2"/>
        <v>0.01817677873</v>
      </c>
      <c r="K32" s="81">
        <f t="shared" si="2"/>
        <v>0.0199944566</v>
      </c>
      <c r="L32" s="81">
        <f t="shared" si="2"/>
        <v>0.02181213447</v>
      </c>
      <c r="M32" s="81">
        <f t="shared" si="2"/>
        <v>0.02423570497</v>
      </c>
      <c r="N32" s="81">
        <f t="shared" si="2"/>
        <v>0.03029463121</v>
      </c>
      <c r="O32" s="81">
        <f t="shared" si="2"/>
        <v>0.06058926243</v>
      </c>
      <c r="P32" s="81">
        <f t="shared" si="2"/>
        <v>0.6058926243</v>
      </c>
      <c r="Q32" s="81">
        <f t="shared" si="2"/>
        <v>1.211785249</v>
      </c>
    </row>
    <row r="33">
      <c r="B33" s="78" t="s">
        <v>200</v>
      </c>
      <c r="C33" s="83">
        <f t="shared" ref="C33:Q33" si="3">C32/($D$18*$H$19*$L$11*$H$16*$H$14)</f>
        <v>0.0009290304134</v>
      </c>
      <c r="D33" s="83">
        <f t="shared" si="3"/>
        <v>0.004645152067</v>
      </c>
      <c r="E33" s="83">
        <f t="shared" si="3"/>
        <v>0.009290304134</v>
      </c>
      <c r="F33" s="83">
        <f t="shared" si="3"/>
        <v>0.01858060827</v>
      </c>
      <c r="G33" s="83">
        <f t="shared" si="3"/>
        <v>0.02136769951</v>
      </c>
      <c r="H33" s="83">
        <f t="shared" si="3"/>
        <v>0.02415479075</v>
      </c>
      <c r="I33" s="83">
        <f t="shared" si="3"/>
        <v>0.02694188199</v>
      </c>
      <c r="J33" s="83">
        <f t="shared" si="3"/>
        <v>0.0278709124</v>
      </c>
      <c r="K33" s="83">
        <f t="shared" si="3"/>
        <v>0.03065800364</v>
      </c>
      <c r="L33" s="83">
        <f t="shared" si="3"/>
        <v>0.03344509488</v>
      </c>
      <c r="M33" s="83">
        <f t="shared" si="3"/>
        <v>0.03716121654</v>
      </c>
      <c r="N33" s="83">
        <f t="shared" si="3"/>
        <v>0.04645152067</v>
      </c>
      <c r="O33" s="83">
        <f t="shared" si="3"/>
        <v>0.09290304134</v>
      </c>
      <c r="P33" s="83">
        <f t="shared" si="3"/>
        <v>0.9290304134</v>
      </c>
      <c r="Q33" s="83">
        <f t="shared" si="3"/>
        <v>1.858060827</v>
      </c>
    </row>
    <row r="34">
      <c r="B34" s="78" t="s">
        <v>201</v>
      </c>
      <c r="C34" s="85">
        <f t="shared" ref="C34:Q34" si="4">4*C32/($D$19*PI()*$H$22)</f>
        <v>8507.001189</v>
      </c>
      <c r="D34" s="85">
        <f t="shared" si="4"/>
        <v>42535.00595</v>
      </c>
      <c r="E34" s="85">
        <f t="shared" si="4"/>
        <v>85070.01189</v>
      </c>
      <c r="F34" s="85">
        <f t="shared" si="4"/>
        <v>170140.0238</v>
      </c>
      <c r="G34" s="85">
        <f t="shared" si="4"/>
        <v>195661.0274</v>
      </c>
      <c r="H34" s="85">
        <f t="shared" si="4"/>
        <v>221182.0309</v>
      </c>
      <c r="I34" s="85">
        <f t="shared" si="4"/>
        <v>246703.0345</v>
      </c>
      <c r="J34" s="85">
        <f t="shared" si="4"/>
        <v>255210.0357</v>
      </c>
      <c r="K34" s="85">
        <f t="shared" si="4"/>
        <v>280731.0392</v>
      </c>
      <c r="L34" s="85">
        <f t="shared" si="4"/>
        <v>306252.0428</v>
      </c>
      <c r="M34" s="85">
        <f t="shared" si="4"/>
        <v>340280.0476</v>
      </c>
      <c r="N34" s="85">
        <f t="shared" si="4"/>
        <v>425350.0595</v>
      </c>
      <c r="O34" s="85">
        <f t="shared" si="4"/>
        <v>850700.1189</v>
      </c>
      <c r="P34" s="85">
        <f t="shared" si="4"/>
        <v>8507001.189</v>
      </c>
      <c r="Q34" s="85">
        <f t="shared" si="4"/>
        <v>17014002.38</v>
      </c>
    </row>
    <row r="35">
      <c r="B35" s="78" t="s">
        <v>202</v>
      </c>
      <c r="C35" s="87" t="str">
        <f t="shared" ref="C35:Q35" si="5">if(C34&gt;2300,if(C34&lt;10000,"Transitional","Turbulent"),"Laminar")</f>
        <v>Transitional</v>
      </c>
      <c r="D35" s="87" t="str">
        <f t="shared" si="5"/>
        <v>Turbulent</v>
      </c>
      <c r="E35" s="87" t="str">
        <f t="shared" si="5"/>
        <v>Turbulent</v>
      </c>
      <c r="F35" s="87" t="str">
        <f t="shared" si="5"/>
        <v>Turbulent</v>
      </c>
      <c r="G35" s="87" t="str">
        <f t="shared" si="5"/>
        <v>Turbulent</v>
      </c>
      <c r="H35" s="87" t="str">
        <f t="shared" si="5"/>
        <v>Turbulent</v>
      </c>
      <c r="I35" s="87" t="str">
        <f t="shared" si="5"/>
        <v>Turbulent</v>
      </c>
      <c r="J35" s="87" t="str">
        <f t="shared" si="5"/>
        <v>Turbulent</v>
      </c>
      <c r="K35" s="87" t="str">
        <f t="shared" si="5"/>
        <v>Turbulent</v>
      </c>
      <c r="L35" s="87" t="str">
        <f t="shared" si="5"/>
        <v>Turbulent</v>
      </c>
      <c r="M35" s="87" t="str">
        <f t="shared" si="5"/>
        <v>Turbulent</v>
      </c>
      <c r="N35" s="87" t="str">
        <f t="shared" si="5"/>
        <v>Turbulent</v>
      </c>
      <c r="O35" s="87" t="str">
        <f t="shared" si="5"/>
        <v>Turbulent</v>
      </c>
      <c r="P35" s="87" t="str">
        <f t="shared" si="5"/>
        <v>Turbulent</v>
      </c>
      <c r="Q35" s="87" t="str">
        <f t="shared" si="5"/>
        <v>Turbulent</v>
      </c>
    </row>
    <row r="36">
      <c r="B36" s="78" t="s">
        <v>203</v>
      </c>
      <c r="C36" s="89">
        <f t="shared" ref="C36:K36" si="6">if(C35="Laminar",0.05*C34*$D$14*$H$22,10*$H$22)</f>
        <v>0.04838095238</v>
      </c>
      <c r="D36" s="89">
        <f t="shared" si="6"/>
        <v>0.04838095238</v>
      </c>
      <c r="E36" s="89">
        <f t="shared" si="6"/>
        <v>0.04838095238</v>
      </c>
      <c r="F36" s="89">
        <f t="shared" si="6"/>
        <v>0.04838095238</v>
      </c>
      <c r="G36" s="89">
        <f t="shared" si="6"/>
        <v>0.04838095238</v>
      </c>
      <c r="H36" s="89">
        <f t="shared" si="6"/>
        <v>0.04838095238</v>
      </c>
      <c r="I36" s="89">
        <f t="shared" si="6"/>
        <v>0.04838095238</v>
      </c>
      <c r="J36" s="89">
        <f t="shared" si="6"/>
        <v>0.04838095238</v>
      </c>
      <c r="K36" s="89">
        <f t="shared" si="6"/>
        <v>0.04838095238</v>
      </c>
      <c r="L36" s="89">
        <f t="shared" ref="L36:P36" si="7">if(L35="laminar",0.05*$C$34*$D$14*$H$22,10*$H$22)</f>
        <v>0.04838095238</v>
      </c>
      <c r="M36" s="89">
        <f t="shared" si="7"/>
        <v>0.04838095238</v>
      </c>
      <c r="N36" s="89">
        <f t="shared" si="7"/>
        <v>0.04838095238</v>
      </c>
      <c r="O36" s="89">
        <f t="shared" si="7"/>
        <v>0.04838095238</v>
      </c>
      <c r="P36" s="89">
        <f t="shared" si="7"/>
        <v>0.04838095238</v>
      </c>
      <c r="Q36" s="89">
        <f>10*$H$22</f>
        <v>0.04838095238</v>
      </c>
    </row>
    <row r="37">
      <c r="B37" s="78" t="s">
        <v>204</v>
      </c>
      <c r="C37" s="91">
        <f t="shared" ref="C37:D37" si="8">if(C35="Laminar",$H$23, 0.023*C34^0.8*$D$14^0.4)</f>
        <v>27.92880606</v>
      </c>
      <c r="D37" s="91">
        <f t="shared" si="8"/>
        <v>101.2111533</v>
      </c>
      <c r="E37" s="91">
        <f t="shared" ref="E37:H37" si="9">if(E35="Laminar",$H$21, 0.023*E34^0.8*$D$14^0.4)</f>
        <v>176.2188531</v>
      </c>
      <c r="F37" s="91">
        <f t="shared" si="9"/>
        <v>306.8148436</v>
      </c>
      <c r="G37" s="91">
        <f t="shared" si="9"/>
        <v>343.1109981</v>
      </c>
      <c r="H37" s="92">
        <f t="shared" si="9"/>
        <v>378.4696414</v>
      </c>
      <c r="I37" s="92">
        <f t="shared" ref="I37:Q37" si="10">if(I35="Laminar",$H$23, 0.023*I34^0.8*$D$14^0.4)</f>
        <v>413.0197016</v>
      </c>
      <c r="J37" s="92">
        <f t="shared" si="10"/>
        <v>424.374592</v>
      </c>
      <c r="K37" s="91">
        <f t="shared" si="10"/>
        <v>457.9979375</v>
      </c>
      <c r="L37" s="91">
        <f t="shared" si="10"/>
        <v>491.0145606</v>
      </c>
      <c r="M37" s="91">
        <f t="shared" si="10"/>
        <v>534.1956699</v>
      </c>
      <c r="N37" s="91">
        <f t="shared" si="10"/>
        <v>638.5992054</v>
      </c>
      <c r="O37" s="91">
        <f t="shared" si="10"/>
        <v>1111.865796</v>
      </c>
      <c r="P37" s="91">
        <f t="shared" si="10"/>
        <v>7015.3989</v>
      </c>
      <c r="Q37" s="91">
        <f t="shared" si="10"/>
        <v>12214.51893</v>
      </c>
    </row>
    <row r="38">
      <c r="B38" s="78" t="s">
        <v>205</v>
      </c>
      <c r="C38" s="85">
        <f t="shared" ref="C38:Q38" si="11">C37*$D$16/$H$22</f>
        <v>141.9503559</v>
      </c>
      <c r="D38" s="85">
        <f t="shared" si="11"/>
        <v>514.4136562</v>
      </c>
      <c r="E38" s="85">
        <f t="shared" si="11"/>
        <v>895.6461963</v>
      </c>
      <c r="F38" s="85">
        <f t="shared" si="11"/>
        <v>1559.410601</v>
      </c>
      <c r="G38" s="85">
        <f t="shared" si="11"/>
        <v>1743.888664</v>
      </c>
      <c r="H38" s="86">
        <f t="shared" si="11"/>
        <v>1923.601753</v>
      </c>
      <c r="I38" s="86">
        <f t="shared" si="11"/>
        <v>2099.205155</v>
      </c>
      <c r="J38" s="86">
        <f t="shared" si="11"/>
        <v>2156.917279</v>
      </c>
      <c r="K38" s="85">
        <f t="shared" si="11"/>
        <v>2327.81058</v>
      </c>
      <c r="L38" s="85">
        <f t="shared" si="11"/>
        <v>2495.620167</v>
      </c>
      <c r="M38" s="85">
        <f t="shared" si="11"/>
        <v>2715.091555</v>
      </c>
      <c r="N38" s="85">
        <f t="shared" si="11"/>
        <v>3245.730745</v>
      </c>
      <c r="O38" s="85">
        <f t="shared" si="11"/>
        <v>5651.145456</v>
      </c>
      <c r="P38" s="85">
        <f t="shared" si="11"/>
        <v>35656.3173</v>
      </c>
      <c r="Q38" s="85">
        <f t="shared" si="11"/>
        <v>62081.25422</v>
      </c>
    </row>
    <row r="39">
      <c r="A39" s="1"/>
      <c r="B39" s="96"/>
      <c r="C39" s="87"/>
      <c r="D39" s="87"/>
      <c r="E39" s="87"/>
      <c r="F39" s="87"/>
      <c r="G39" s="87"/>
      <c r="H39" s="88"/>
      <c r="I39" s="88"/>
      <c r="J39" s="88"/>
      <c r="K39" s="87"/>
      <c r="L39" s="87"/>
      <c r="M39" s="87"/>
      <c r="N39" s="87"/>
      <c r="O39" s="87"/>
      <c r="P39" s="87"/>
      <c r="Q39" s="87"/>
    </row>
    <row r="40">
      <c r="A40" s="1"/>
      <c r="B40" s="78" t="s">
        <v>206</v>
      </c>
      <c r="C40" s="87">
        <f t="shared" ref="C40:Q40" si="12">$L$8*1000/(C32*$D$13)+$D$15</f>
        <v>-120.7496196</v>
      </c>
      <c r="D40" s="87">
        <f t="shared" si="12"/>
        <v>-20.94992391</v>
      </c>
      <c r="E40" s="87">
        <f t="shared" si="12"/>
        <v>-8.474961957</v>
      </c>
      <c r="F40" s="87">
        <f t="shared" si="12"/>
        <v>-2.237480978</v>
      </c>
      <c r="G40" s="87">
        <f t="shared" si="12"/>
        <v>-1.423896503</v>
      </c>
      <c r="H40" s="88">
        <f t="shared" si="12"/>
        <v>-0.798062291</v>
      </c>
      <c r="I40" s="88">
        <f t="shared" si="12"/>
        <v>-0.3017110195</v>
      </c>
      <c r="J40" s="88">
        <f t="shared" si="12"/>
        <v>-0.1583206522</v>
      </c>
      <c r="K40" s="87">
        <f t="shared" si="12"/>
        <v>0.219708498</v>
      </c>
      <c r="L40" s="87">
        <f t="shared" si="12"/>
        <v>0.5347327898</v>
      </c>
      <c r="M40" s="87">
        <f t="shared" si="12"/>
        <v>0.8812595109</v>
      </c>
      <c r="N40" s="87">
        <f t="shared" si="12"/>
        <v>1.505007609</v>
      </c>
      <c r="O40" s="87">
        <f t="shared" si="12"/>
        <v>2.752503804</v>
      </c>
      <c r="P40" s="87">
        <f t="shared" si="12"/>
        <v>3.87525038</v>
      </c>
      <c r="Q40" s="87">
        <f t="shared" si="12"/>
        <v>3.93762519</v>
      </c>
    </row>
    <row r="41">
      <c r="A41" s="1"/>
      <c r="B41" s="78" t="s">
        <v>207</v>
      </c>
      <c r="C41" s="93">
        <f t="shared" ref="C41:Q41" si="13">$H$12-($H$12-$D$15)*exp(-1*$C$38*$H$25/($C$32*$D$13))</f>
        <v>0</v>
      </c>
      <c r="D41" s="93">
        <f t="shared" si="13"/>
        <v>0</v>
      </c>
      <c r="E41" s="93">
        <f t="shared" si="13"/>
        <v>0</v>
      </c>
      <c r="F41" s="93">
        <f t="shared" si="13"/>
        <v>0</v>
      </c>
      <c r="G41" s="93">
        <f t="shared" si="13"/>
        <v>0</v>
      </c>
      <c r="H41" s="93">
        <f t="shared" si="13"/>
        <v>0</v>
      </c>
      <c r="I41" s="93">
        <f t="shared" si="13"/>
        <v>0</v>
      </c>
      <c r="J41" s="93">
        <f t="shared" si="13"/>
        <v>0</v>
      </c>
      <c r="K41" s="93">
        <f t="shared" si="13"/>
        <v>0</v>
      </c>
      <c r="L41" s="93">
        <f t="shared" si="13"/>
        <v>0</v>
      </c>
      <c r="M41" s="93">
        <f t="shared" si="13"/>
        <v>0</v>
      </c>
      <c r="N41" s="93">
        <f t="shared" si="13"/>
        <v>0</v>
      </c>
      <c r="O41" s="93">
        <f t="shared" si="13"/>
        <v>0</v>
      </c>
      <c r="P41" s="93">
        <f t="shared" si="13"/>
        <v>0</v>
      </c>
      <c r="Q41" s="93">
        <f t="shared" si="13"/>
        <v>0</v>
      </c>
    </row>
    <row r="42">
      <c r="A42" s="1"/>
    </row>
    <row r="43">
      <c r="A43" s="1"/>
    </row>
    <row r="44">
      <c r="A44" s="1"/>
    </row>
    <row r="46">
      <c r="D46" s="81"/>
    </row>
  </sheetData>
  <mergeCells count="9">
    <mergeCell ref="F15:I15"/>
    <mergeCell ref="B17:E17"/>
    <mergeCell ref="B2:O2"/>
    <mergeCell ref="B3:O4"/>
    <mergeCell ref="B5:E5"/>
    <mergeCell ref="F5:I5"/>
    <mergeCell ref="J5:M5"/>
    <mergeCell ref="B6:E6"/>
    <mergeCell ref="F6:I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30.0"/>
  </cols>
  <sheetData>
    <row r="3">
      <c r="A3" s="1" t="s">
        <v>254</v>
      </c>
    </row>
    <row r="5">
      <c r="A5" s="1" t="s">
        <v>0</v>
      </c>
    </row>
    <row r="6">
      <c r="A6" s="1" t="s">
        <v>1</v>
      </c>
      <c r="C6" s="2" t="s">
        <v>2</v>
      </c>
      <c r="G6" s="98"/>
    </row>
    <row r="7">
      <c r="G7" s="99" t="s">
        <v>255</v>
      </c>
      <c r="H7" s="100"/>
      <c r="I7" s="100"/>
      <c r="J7" s="101" t="s">
        <v>2</v>
      </c>
      <c r="K7" s="102"/>
    </row>
    <row r="8">
      <c r="A8" s="3" t="s">
        <v>3</v>
      </c>
      <c r="G8" s="103"/>
      <c r="K8" s="104"/>
    </row>
    <row r="9">
      <c r="A9" s="4" t="s">
        <v>4</v>
      </c>
      <c r="B9" s="4">
        <v>20.0</v>
      </c>
      <c r="G9" s="103"/>
      <c r="K9" s="104"/>
    </row>
    <row r="10">
      <c r="A10" s="4" t="s">
        <v>5</v>
      </c>
      <c r="B10" s="4">
        <v>12.0</v>
      </c>
      <c r="G10" s="103"/>
      <c r="K10" s="104"/>
    </row>
    <row r="11">
      <c r="A11" s="4" t="s">
        <v>7</v>
      </c>
      <c r="B11" s="5">
        <f>B9*B10</f>
        <v>240</v>
      </c>
      <c r="G11" s="103"/>
      <c r="K11" s="104"/>
    </row>
    <row r="12">
      <c r="A12" s="4" t="s">
        <v>8</v>
      </c>
      <c r="B12" s="7">
        <f>0.000029574</f>
        <v>0.000029574</v>
      </c>
      <c r="G12" s="103"/>
      <c r="K12" s="104"/>
    </row>
    <row r="13">
      <c r="A13" s="4" t="s">
        <v>9</v>
      </c>
      <c r="B13" s="8">
        <f>B12*B11</f>
        <v>0.00709776</v>
      </c>
      <c r="G13" s="103"/>
      <c r="K13" s="104"/>
    </row>
    <row r="14">
      <c r="A14" s="4" t="s">
        <v>10</v>
      </c>
      <c r="B14" s="4">
        <v>998.2</v>
      </c>
      <c r="G14" s="103"/>
      <c r="K14" s="104"/>
    </row>
    <row r="15">
      <c r="A15" s="9" t="s">
        <v>11</v>
      </c>
      <c r="B15" s="10">
        <f>B14*B13</f>
        <v>7.084984032</v>
      </c>
      <c r="G15" s="103"/>
      <c r="K15" s="104"/>
    </row>
    <row r="16">
      <c r="A16" s="11" t="s">
        <v>12</v>
      </c>
      <c r="B16" s="11">
        <v>4.18</v>
      </c>
      <c r="G16" s="103"/>
      <c r="K16" s="104"/>
    </row>
    <row r="17">
      <c r="A17" s="11" t="s">
        <v>13</v>
      </c>
      <c r="B17" s="11">
        <v>21.0</v>
      </c>
      <c r="G17" s="103"/>
      <c r="K17" s="104"/>
    </row>
    <row r="18">
      <c r="A18" s="11" t="s">
        <v>14</v>
      </c>
      <c r="B18" s="11">
        <v>4.0</v>
      </c>
      <c r="G18" s="103"/>
      <c r="K18" s="104"/>
    </row>
    <row r="19">
      <c r="A19" s="12" t="s">
        <v>256</v>
      </c>
      <c r="B19" s="13">
        <f>B15*B16*(B17-B18)</f>
        <v>503.4589653</v>
      </c>
      <c r="C19" s="1" t="s">
        <v>16</v>
      </c>
      <c r="G19" s="103"/>
      <c r="K19" s="104"/>
    </row>
    <row r="20">
      <c r="G20" s="103"/>
      <c r="K20" s="104"/>
    </row>
    <row r="21">
      <c r="A21" s="14" t="s">
        <v>17</v>
      </c>
      <c r="G21" s="105"/>
      <c r="H21" s="106"/>
      <c r="I21" s="106"/>
      <c r="J21" s="106"/>
      <c r="K21" s="107"/>
    </row>
    <row r="22">
      <c r="A22" s="15" t="s">
        <v>18</v>
      </c>
      <c r="B22" s="15">
        <v>33.4</v>
      </c>
    </row>
    <row r="23">
      <c r="A23" s="15" t="s">
        <v>19</v>
      </c>
      <c r="B23" s="15">
        <v>17.5</v>
      </c>
    </row>
    <row r="24">
      <c r="A24" s="15" t="s">
        <v>20</v>
      </c>
      <c r="B24" s="15">
        <v>18.7</v>
      </c>
    </row>
    <row r="25">
      <c r="A25" s="15" t="s">
        <v>21</v>
      </c>
      <c r="B25" s="15">
        <v>0.0254</v>
      </c>
    </row>
    <row r="26">
      <c r="A26" s="15" t="s">
        <v>22</v>
      </c>
      <c r="B26" s="16">
        <f>B25*B22</f>
        <v>0.84836</v>
      </c>
    </row>
    <row r="27">
      <c r="A27" s="15" t="s">
        <v>23</v>
      </c>
      <c r="B27" s="16">
        <f>B23*B25</f>
        <v>0.4445</v>
      </c>
    </row>
    <row r="28">
      <c r="A28" s="15" t="s">
        <v>25</v>
      </c>
      <c r="B28" s="16">
        <f>B24*B25</f>
        <v>0.47498</v>
      </c>
    </row>
    <row r="29">
      <c r="A29" s="15" t="s">
        <v>27</v>
      </c>
      <c r="B29" s="17">
        <f t="shared" ref="B29:B30" si="1">B26*B27</f>
        <v>0.37709602</v>
      </c>
    </row>
    <row r="30">
      <c r="A30" s="15" t="s">
        <v>29</v>
      </c>
      <c r="B30" s="17">
        <f t="shared" si="1"/>
        <v>0.21112861</v>
      </c>
    </row>
    <row r="31">
      <c r="A31" s="15" t="s">
        <v>31</v>
      </c>
      <c r="B31" s="17">
        <f>B26*B28</f>
        <v>0.4029540328</v>
      </c>
    </row>
    <row r="32">
      <c r="A32" s="18" t="s">
        <v>33</v>
      </c>
      <c r="B32" s="19">
        <f>B29*2+B30+B31*2</f>
        <v>1.771228716</v>
      </c>
    </row>
    <row r="34">
      <c r="A34" s="21" t="s">
        <v>35</v>
      </c>
      <c r="B34" s="21">
        <v>0.05</v>
      </c>
    </row>
    <row r="35">
      <c r="A35" s="21" t="s">
        <v>36</v>
      </c>
      <c r="B35" s="21">
        <v>0.36</v>
      </c>
    </row>
    <row r="36">
      <c r="A36" s="21" t="s">
        <v>37</v>
      </c>
      <c r="B36" s="21">
        <v>10.0</v>
      </c>
    </row>
    <row r="37">
      <c r="A37" s="21" t="s">
        <v>38</v>
      </c>
      <c r="B37" s="21">
        <v>10.0</v>
      </c>
    </row>
    <row r="38">
      <c r="A38" s="21" t="s">
        <v>39</v>
      </c>
      <c r="B38" s="22">
        <f>1/(B36*B32)</f>
        <v>0.0564579826</v>
      </c>
      <c r="C38" s="1" t="s">
        <v>40</v>
      </c>
    </row>
    <row r="39">
      <c r="A39" s="23" t="s">
        <v>41</v>
      </c>
      <c r="B39" s="24"/>
    </row>
    <row r="40">
      <c r="A40" s="21" t="s">
        <v>42</v>
      </c>
      <c r="B40" s="22">
        <f>B34/(B35*B32)</f>
        <v>0.07841386472</v>
      </c>
      <c r="C40" s="1" t="s">
        <v>43</v>
      </c>
    </row>
    <row r="41">
      <c r="A41" s="23" t="s">
        <v>44</v>
      </c>
      <c r="B41" s="24"/>
    </row>
    <row r="42">
      <c r="A42" s="21" t="s">
        <v>45</v>
      </c>
      <c r="B42" s="22">
        <f>1/(B37*B32)</f>
        <v>0.0564579826</v>
      </c>
      <c r="C42" s="1" t="s">
        <v>40</v>
      </c>
    </row>
    <row r="43">
      <c r="A43" s="25" t="s">
        <v>46</v>
      </c>
      <c r="B43" s="26">
        <f>B38+B40+B42</f>
        <v>0.1913298299</v>
      </c>
    </row>
    <row r="44">
      <c r="A44" s="25" t="s">
        <v>47</v>
      </c>
      <c r="B44" s="27">
        <f>(B17-B18)/B43</f>
        <v>88.85180114</v>
      </c>
      <c r="C44" s="1" t="s">
        <v>48</v>
      </c>
      <c r="G44" s="1" t="s">
        <v>50</v>
      </c>
    </row>
    <row r="45">
      <c r="A45" s="25" t="s">
        <v>51</v>
      </c>
      <c r="B45" s="26">
        <f>B44/1000</f>
        <v>0.08885180114</v>
      </c>
      <c r="C45" s="1" t="s">
        <v>52</v>
      </c>
    </row>
    <row r="46">
      <c r="A46" s="108" t="s">
        <v>257</v>
      </c>
      <c r="B46" s="109">
        <f>B45*B48*3600</f>
        <v>959.5994523</v>
      </c>
    </row>
    <row r="47">
      <c r="A47" s="14" t="s">
        <v>53</v>
      </c>
    </row>
    <row r="48">
      <c r="A48" s="4" t="s">
        <v>54</v>
      </c>
      <c r="B48" s="4">
        <v>3.0</v>
      </c>
    </row>
    <row r="49">
      <c r="A49" s="28" t="s">
        <v>55</v>
      </c>
      <c r="B49" s="29">
        <f>B19+B46</f>
        <v>1463.058418</v>
      </c>
    </row>
    <row r="50">
      <c r="A50" s="30" t="s">
        <v>57</v>
      </c>
      <c r="B50" s="31">
        <v>334.0</v>
      </c>
    </row>
    <row r="51">
      <c r="A51" s="4" t="s">
        <v>58</v>
      </c>
      <c r="B51" s="32">
        <f>B49/B50</f>
        <v>4.380414424</v>
      </c>
      <c r="C51" s="1" t="s">
        <v>59</v>
      </c>
      <c r="D51" s="1" t="s">
        <v>60</v>
      </c>
    </row>
    <row r="52">
      <c r="A52" s="33" t="s">
        <v>61</v>
      </c>
      <c r="B52" s="34">
        <v>917.0</v>
      </c>
    </row>
    <row r="53">
      <c r="A53" s="9" t="s">
        <v>63</v>
      </c>
      <c r="B53" s="35">
        <f>B51/B52</f>
        <v>0.004776896864</v>
      </c>
    </row>
    <row r="54">
      <c r="A54" s="9" t="s">
        <v>64</v>
      </c>
      <c r="B54" s="36">
        <f>B53/B25^3</f>
        <v>291.5041318</v>
      </c>
      <c r="C54" s="6">
        <f>9*11*3</f>
        <v>297</v>
      </c>
    </row>
    <row r="55">
      <c r="A55" s="4" t="s">
        <v>65</v>
      </c>
      <c r="B55" s="37">
        <f>8.5*11*2.5</f>
        <v>233.75</v>
      </c>
    </row>
    <row r="56">
      <c r="A56" s="4" t="s">
        <v>67</v>
      </c>
      <c r="B56" s="38">
        <f>B54/B55</f>
        <v>1.2470765</v>
      </c>
    </row>
    <row r="59">
      <c r="A59" s="3" t="s">
        <v>68</v>
      </c>
      <c r="C59" s="39"/>
    </row>
    <row r="60">
      <c r="A60" s="15" t="s">
        <v>69</v>
      </c>
      <c r="B60" s="40">
        <v>0.56</v>
      </c>
      <c r="C60" s="15" t="s">
        <v>70</v>
      </c>
    </row>
    <row r="61">
      <c r="A61" s="15" t="s">
        <v>71</v>
      </c>
      <c r="B61" s="40">
        <v>0.43</v>
      </c>
      <c r="C61" s="15" t="s">
        <v>70</v>
      </c>
    </row>
    <row r="62">
      <c r="A62" s="15" t="s">
        <v>72</v>
      </c>
      <c r="B62" s="41">
        <f>B60-B61</f>
        <v>0.13</v>
      </c>
      <c r="C62" s="15" t="s">
        <v>70</v>
      </c>
    </row>
    <row r="63">
      <c r="A63" s="28" t="s">
        <v>69</v>
      </c>
      <c r="B63" s="42">
        <v>0.48</v>
      </c>
      <c r="C63" s="28" t="s">
        <v>73</v>
      </c>
    </row>
    <row r="64">
      <c r="A64" s="28" t="s">
        <v>71</v>
      </c>
      <c r="B64" s="42">
        <v>0.44</v>
      </c>
      <c r="C64" s="28" t="s">
        <v>73</v>
      </c>
    </row>
    <row r="65">
      <c r="A65" s="28" t="s">
        <v>72</v>
      </c>
      <c r="B65" s="43">
        <f>B63-B64</f>
        <v>0.04</v>
      </c>
      <c r="C65" s="28" t="s">
        <v>73</v>
      </c>
    </row>
    <row r="66">
      <c r="A66" s="1" t="s">
        <v>74</v>
      </c>
      <c r="B66" s="1">
        <v>3600.0</v>
      </c>
    </row>
    <row r="67">
      <c r="A67" s="1" t="s">
        <v>75</v>
      </c>
      <c r="B67" s="20">
        <f>B49/B66</f>
        <v>0.406405116</v>
      </c>
    </row>
    <row r="68">
      <c r="A68" s="15" t="s">
        <v>76</v>
      </c>
      <c r="B68" s="41">
        <f>B67*B62</f>
        <v>0.05283266508</v>
      </c>
      <c r="C68" s="15" t="s">
        <v>70</v>
      </c>
    </row>
    <row r="69">
      <c r="A69" s="28" t="s">
        <v>76</v>
      </c>
      <c r="B69" s="43">
        <f>B67*B65</f>
        <v>0.01625620464</v>
      </c>
      <c r="C69" s="28" t="s">
        <v>73</v>
      </c>
    </row>
    <row r="70">
      <c r="A70" s="1" t="s">
        <v>77</v>
      </c>
      <c r="B70" s="44">
        <f>(B68+B69)/2*365</f>
        <v>12.60871872</v>
      </c>
    </row>
  </sheetData>
  <mergeCells count="4">
    <mergeCell ref="A8:B8"/>
    <mergeCell ref="A21:B21"/>
    <mergeCell ref="A47:B47"/>
    <mergeCell ref="A59:B59"/>
  </mergeCells>
  <hyperlinks>
    <hyperlink r:id="rId1" location=":~:text=Small%20(1.1%E2%80%933.0%20cu.,for%20a%20single%20refrigeration%20compartment." ref="C6"/>
    <hyperlink r:id="rId2" ref="J7"/>
  </hyperlinks>
  <drawing r:id="rId3"/>
</worksheet>
</file>