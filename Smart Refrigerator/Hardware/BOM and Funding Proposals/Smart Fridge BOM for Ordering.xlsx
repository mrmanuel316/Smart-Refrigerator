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OM for Presentation 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tc={69fee92c-0677-4d90-8a3c-2d6d5de1fc64}</author>
  </authors>
  <commentList>
    <comment authorId="0" xr:uid="{69fee92c-0677-4d90-8a3c-2d6d5de1fc64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Hello Isabel, Thank you for putting this budget list together. I was able to order everything except the cold hose order. My card was declined. I will check with AP on Monday. Kind regards, Lydie
</t>
      </text>
    </comment>
  </commentList>
</comments>
</file>

<file path=xl/sharedStrings.xml><?xml version="1.0" encoding="utf-8"?>
<sst xmlns="http://schemas.openxmlformats.org/spreadsheetml/2006/main" count="151" uniqueCount="89">
  <si>
    <t>Project Name</t>
  </si>
  <si>
    <t>Smart Refrigerator</t>
  </si>
  <si>
    <t>Advisor</t>
  </si>
  <si>
    <t>Dr. Keith Yi</t>
  </si>
  <si>
    <t>Team Members</t>
  </si>
  <si>
    <t>Name</t>
  </si>
  <si>
    <t>Email</t>
  </si>
  <si>
    <t>Isabel Price</t>
  </si>
  <si>
    <t>isabel.price@sjsu.edu</t>
  </si>
  <si>
    <t>Kalino Ruiz</t>
  </si>
  <si>
    <t>kalino.ruiz@sjsu.edu</t>
  </si>
  <si>
    <t>Brent Marin</t>
  </si>
  <si>
    <t>brent.marin@sjsu.edu</t>
  </si>
  <si>
    <t>Caleb Mok</t>
  </si>
  <si>
    <t>caleb.mok@sjsu.edu</t>
  </si>
  <si>
    <t>Matthew Manuel</t>
  </si>
  <si>
    <t>matthew.manuel@sjsu.edu</t>
  </si>
  <si>
    <t>Items Requested</t>
  </si>
  <si>
    <t>Vendor</t>
  </si>
  <si>
    <t>Qty</t>
  </si>
  <si>
    <t>Unit Cost</t>
  </si>
  <si>
    <t>Ext. Cost</t>
  </si>
  <si>
    <t>Estimated Shipping + tax</t>
  </si>
  <si>
    <t>Total Per Vendor</t>
  </si>
  <si>
    <t>Notes</t>
  </si>
  <si>
    <t>https://www.amazon.com/FANOVO-Refrigerator-Recharge-Refrigerant-Self-Sealing/dp/B09S69H5DP/ref=asc_df_B09S69H5DP?mcid=3db2c85207a63eabbaad7770746b1fe6&amp;hvocijid=11630531409563374806-B09S69H5DP-&amp;hvexpln=73&amp;tag=hyprod-20&amp;linkCode=df0&amp;hvadid=721245378154&amp;hvpos=&amp;hvnetw=g&amp;hvrand=11630531409563374806&amp;hvpone=&amp;hvptwo=&amp;hvqmt=&amp;hvdev=c&amp;hvdvcmdl=&amp;hvlocint=&amp;hvlocphy=9032170&amp;hvtargid=pla-2281435178618&amp;th=1</t>
  </si>
  <si>
    <t>Amazon</t>
  </si>
  <si>
    <t>https://www.amazon.com/GOORY-Copper-Tubing-0-328-Refrigeration/dp/B0DKT3JDPT/ref=sr_1_4?crid=166OUAN102SU1&amp;dib=eyJ2IjoiMSJ9.zoREXYMGDBq5lJJB70XHOHAROllLmtIDXSfTp1eMPC-vE5oAG35L-xflnz-svtKtyTs2h-LEhTuAPAawieOadNjOIwJ4ZMtNYMM1q-if-aZqf6dVr7FLy4rg0_q3QAbFXV7Ia-u-BZkT_zgJzpIAgUO2lMH29FlzukkA3BVIKqIO7j51gVL145T5qqX673QUMUG-bMeMX4wasBRXTmdoUSRXFpqLuiruVhObH2Nq2Ac.F07vywvrQYbg-Jypd4QmIxJm9RvZFZgQPeFRbMg0ZJU&amp;dib_tag=se&amp;keywords=copper%2Brefrigerant%2Bpiping&amp;qid=1745992492&amp;sprefix=copper%2Brefrigerant%2Bpipin%2Caps%2C377&amp;sr=8-4&amp;th=1</t>
  </si>
  <si>
    <t>If $459 is too much over budget, Please remove this item!</t>
  </si>
  <si>
    <t>https://www.amazon.com/ER2188820-ERP-Thermistor-Replaces-2188820/dp/B01M8OFHHX</t>
  </si>
  <si>
    <t>Currently on sale for $5</t>
  </si>
  <si>
    <t>https://coldhose.com/products/r134a-refrigerant-12oz-can?variant=35532320014496</t>
  </si>
  <si>
    <t>Cold Hose</t>
  </si>
  <si>
    <t>https://www.metalsdepot.com/aluminum-products/aluminum-rectangle-tube?product=290</t>
  </si>
  <si>
    <t>Metals Depot</t>
  </si>
  <si>
    <t>Please See Section A Below</t>
  </si>
  <si>
    <t>https://www.metalsdepot.com/aluminum-products/aluminum-sheet?product=381</t>
  </si>
  <si>
    <t>Please See Section B Below</t>
  </si>
  <si>
    <t>https://heatsinkonline.com/products/7874-wide-heatsink-64as?variant=42105916653730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</t>
  </si>
  <si>
    <t>Heat Sink</t>
  </si>
  <si>
    <t>Please See Section C Below</t>
  </si>
  <si>
    <t>https://www.jameco.com/z/SP100A-1123XBT-GN-Sunon-120mm-115-VAC-60Hz-Ball-Bearing-Fan-240mA-20W-117-CFM_102884.html</t>
  </si>
  <si>
    <t>JameCo Electronics</t>
  </si>
  <si>
    <t>https://www.jameco.com/z/TM1637-JVP-Jameco-ValuePro-TM1637-4-Bits-Digital-Red-LED-Display-Module-for-Arduino-7-Segment-0-36-4-Digit-Clock-Anode-Serial-Driver-Board_2325423.html?CID=GOOG&amp;utm_source=google&amp;utm_medium=ppc&amp;utm_campaign=&amp;utm_term=&amp;utm_content=&amp;gad_source=4&amp;gad_campaignid=17336645193&amp;gbraid=0AAAAADoyMrdTfjL0XWHlsPpaIKEPx7iFT&amp;gclid=Cj0KCQjwlMfABhCWARIsADGXdy-5ZPRjeSekmAhkRNRcc-6NoqRiyiN0gZbNljShqVxzSGMeHSO1yvcaApfOEALw_wcB</t>
  </si>
  <si>
    <t>Included in shipping is $2.09 Tariff Surcharge</t>
  </si>
  <si>
    <t>Total Cost</t>
  </si>
  <si>
    <t>Section A</t>
  </si>
  <si>
    <t>STEP 1 - Select Size Dropdown. Part Number: T34118. The link should automatically bring you to this part</t>
  </si>
  <si>
    <t>STEP 2 - Select Cut to Size</t>
  </si>
  <si>
    <t>STEP 2 - Quantity = 12, 6 inches each</t>
  </si>
  <si>
    <t>Section B</t>
  </si>
  <si>
    <t>STEP 1 - Select Size Dropdown. Part Number: S3063. The link should automatically bring you to this part</t>
  </si>
  <si>
    <t>STEP 2 - Select 2 Ft x 2 Ft. Quantity = 2</t>
  </si>
  <si>
    <t>Example of Completed MetalsDepot Shopping Cart</t>
  </si>
  <si>
    <t>Section C</t>
  </si>
  <si>
    <t>Please choose 6 inches length, quantity 8</t>
  </si>
  <si>
    <t>Link</t>
  </si>
  <si>
    <t>Item</t>
  </si>
  <si>
    <t>https://www.amazon.com/BOJACK-DS18B20-Temperature-Stainless-Waterproof/dp/B09NVFJYPS/ref=sr_1_1?crid=3S6TQVDOPXQM5&amp;dib=eyJ2IjoiMSJ9.70OYroGThH_uuUI2iTvLq78NRZASO883SXzPr62pz2pTsj9vTaqd0d9KKgZGl-K8NxxjgRM4z1TyTeqREo6td-d5WgqVA5J5aK8Dbfu7EuKaxtuTQUgden1_8lgnj5heEGYdr-iMpnrPj30L8RHu6-sYhkry6eV8kFvpF6_wRJYoGW8S7xj-wip2cfZMF_Ljew9i5kQPR1rz_n-wAXTwKtS3DB83uJKTA-PLvzsuZLonBpOP27yvOn289-yiO8f3btI9qWyFO8T5iuBUPJqMybebgs6PDPnzGvCYGed366A.wiFyS-q5FnVYgl_kzch9dIK4ohxg6WXdOdtpJD5xt1k&amp;dib_tag=se&amp;keywords=ds18b20%2Bsensor&amp;qid=1758678055&amp;s=industrial&amp;sprefix=ds18b20%2Bsensor%2Cindustrial%2C149&amp;sr=1-1&amp;th=1</t>
  </si>
  <si>
    <t>Temperature Sensor (2 Pack)</t>
  </si>
  <si>
    <t>https://www.amazon.com/dp/B00LW15A4W?ref=ppx_pop_mob_ap_share&amp;th=1</t>
  </si>
  <si>
    <t>One Channel Relays (2 Pack)</t>
  </si>
  <si>
    <t>https://www.amazon.com/dp/B093GW6SZ1?ref=ppx_pop_mob_ap_share</t>
  </si>
  <si>
    <t>AC to DC Converter (5 Pack)</t>
  </si>
  <si>
    <t>https://www.amazon.com/dp/B0FGJ7N5JG?ref=cm_sw_r_cso_cp_apan_dp_KKCCRM6T6205KC28W2H2&amp;ref_=cm_sw_r_cso_cp_apan_dp_KKCCRM6T6205KC28W2H2&amp;social_share=cm_sw_r_cso_cp_apan_dp_KKCCRM6T6205KC28W2H2&amp;titleSource=true&amp;th=1</t>
  </si>
  <si>
    <t>3 Way Wire Splitters (10 Pack)</t>
  </si>
  <si>
    <t>https://www.amazon.com/dp/B0F4P352BB?ref=ppx_pop_mob_ap_share</t>
  </si>
  <si>
    <t>Resistors</t>
  </si>
  <si>
    <t>Aluminum Sheets</t>
  </si>
  <si>
    <t>Heat Sink Online</t>
  </si>
  <si>
    <t>Fan</t>
  </si>
  <si>
    <t>4 Digit Display</t>
  </si>
  <si>
    <t>Already owned</t>
  </si>
  <si>
    <t>Buttons</t>
  </si>
  <si>
    <t>-</t>
  </si>
  <si>
    <t>LED</t>
  </si>
  <si>
    <t>Breadboard</t>
  </si>
  <si>
    <t>Buck Converter</t>
  </si>
  <si>
    <t>https://www.homedepot.com/p/Loctite-Silicone-Waterproof-Multipurpose-Adhesive-Sealant-2-7-oz-Clear-Tube-908570/303769575</t>
  </si>
  <si>
    <t>SIlicone Waterproof Sealant</t>
  </si>
  <si>
    <t>Home Depot</t>
  </si>
  <si>
    <t>https://www.amazon.com/Antrader-2-54mm-Sockets-Female-Connector/dp/B0BVHMTY5S/ref=sr_1_3?crid=1608T3WQ9JH1W&amp;dib=eyJ2IjoiMSJ9.UELVZ9en0cN9lks_ORM_cFnkBReWEcYQWYJTO_6Kd5D0ipRzpNdmPy7UMrzErKDNdDdUds3jpnY6dd5UqpWS7IzDkHWOA8ebSa3F9z01KQM3KwGm3Kf7pEhjfvvXmERRbKDWZxkV6qfKGJqOyCjW3tx-SUbkvFF6a4WpWlOT0drs3ag5UJ395-ebQzFlD7G9t_3n4QW_nKPRywzUqq1ZLdGKQ_PJkaHg5Kze0pMYUe99llmOCFwwfcVoTzyL2nbCYdFo4uId7lHlIHnD15SJY5KX9u-CVfFmTPzJgXcSuuU.QVG94HyeFZT4nmuLStIZimuDL8S6E25k6n4WX9TReq8&amp;dib_tag=se&amp;keywords=Flat%2BRibbon%2BCable%2B2.54mm%2BPitch%2B8%2Bpin%2Bfemale%2Bidc%2Bsingle%2Brow&amp;qid=1760397657&amp;s=industrial&amp;sprefix=flat%2Bribbon%2Bcable%2B2.54mm%2Bpitch%2B8%2Bpin%2Bfemale%2Bidc%2Bsingle%2Brow%2Cindustrial%2C115&amp;sr=1-3&amp;th=1</t>
  </si>
  <si>
    <t>IDC Female Cable Connector</t>
  </si>
  <si>
    <t>https://www.amazon.com/Antrader-Ribbon-Cable-2-54mm-Connectors/dp/B07P77YRB2/ref=pd_bxgy_d_sccl_1/134-2577932-9484742?pd_rd_w=0cif6&amp;content-id=amzn1.sym.de9a1315-b9df-4c24-863c-7afcb2e4cc0a&amp;pf_rd_p=de9a1315-b9df-4c24-863c-7afcb2e4cc0a&amp;pf_rd_r=E2MM69KQTE3N5XCA6H8P&amp;pd_rd_wg=GcTcH&amp;pd_rd_r=5ab76144-6932-4aa8-9794-1a32619b262f&amp;pd_rd_i=B07P77YRB2&amp;th=1</t>
  </si>
  <si>
    <t>Ribbon Cable</t>
  </si>
  <si>
    <t>https://www.amazon.com/dp/B0D12GZLL9?ref=cm_sw_r_cso_cp_apan_dp_84NNABJ6B4F3W2MBHZTM&amp;ref_=cm_sw_r_cso_cp_apan_dp_84NNABJ6B4F3W2MBHZTM&amp;social_share=cm_sw_r_cso_cp_apan_dp_84NNABJ6B4F3W2MBHZTM&amp;titleSource=true&amp;th=1</t>
  </si>
  <si>
    <t>DIY Solder Board Kit</t>
  </si>
  <si>
    <t>https://www.amazon.com/dp/B07Q7NZTQS?ref=cm_sw_r_cso_cp_apin_dp_6DDPGGQVQRJAHH7GS73D&amp;ref_=cm_sw_r_cso_cp_apin_dp_6DDPGGQVQRJAHH7GS73D&amp;social_share=cm_sw_r_cso_cp_apin_dp_6DDPGGQVQRJAHH7GS73D&amp;titleSource=true&amp;th=1</t>
  </si>
  <si>
    <t>Clock Memory Module (2 pack)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</si>
</sst>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;(#,##0.00)"/>
    <numFmt numFmtId="165" formatCode="_(&quot;$&quot;* #,##0.00_);_(&quot;$&quot;* \(#,##0.00\);_(&quot;$&quot;* &quot;-&quot;??_);_(@_)"/>
    <numFmt numFmtId="166" formatCode="&quot;$&quot;#,##0.00"/>
    <numFmt numFmtId="167" formatCode="m-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0.0"/>
      <color theme="1"/>
      <name val="Arial"/>
      <scheme val="minor"/>
    </font>
    <font>
      <b/>
      <sz val="11.0"/>
      <color rgb="FFFFFFFF"/>
      <name val="Calibri"/>
    </font>
    <font>
      <sz val="11.0"/>
      <color rgb="FF333333"/>
      <name val="Arial"/>
    </font>
    <font>
      <u/>
      <color rgb="FF0000FF"/>
    </font>
    <font>
      <u/>
      <color rgb="FF0000FF"/>
    </font>
    <font>
      <u/>
      <color rgb="FF0000FF"/>
    </font>
    <font>
      <b/>
      <sz val="14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4EEFF"/>
        <bgColor rgb="FFE4EEFF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5D9D9"/>
      </top>
      <bottom style="thin">
        <color rgb="FFD5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vertical="bottom"/>
    </xf>
    <xf borderId="1" fillId="2" fontId="4" numFmtId="164" xfId="0" applyAlignment="1" applyBorder="1" applyFont="1" applyNumberFormat="1">
      <alignment horizontal="center" readingOrder="0" vertical="bottom"/>
    </xf>
    <xf borderId="4" fillId="3" fontId="5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1" numFmtId="166" xfId="0" applyAlignment="1" applyBorder="1" applyFont="1" applyNumberFormat="1">
      <alignment horizontal="center" readingOrder="0"/>
    </xf>
    <xf borderId="1" fillId="4" fontId="1" numFmtId="166" xfId="0" applyAlignment="1" applyBorder="1" applyFont="1" applyNumberFormat="1">
      <alignment horizontal="center"/>
    </xf>
    <xf borderId="5" fillId="0" fontId="1" numFmtId="166" xfId="0" applyAlignment="1" applyBorder="1" applyFont="1" applyNumberFormat="1">
      <alignment horizontal="center" readingOrder="0" vertical="center"/>
    </xf>
    <xf borderId="5" fillId="0" fontId="1" numFmtId="166" xfId="0" applyAlignment="1" applyBorder="1" applyFont="1" applyNumberFormat="1">
      <alignment horizontal="center" vertical="center"/>
    </xf>
    <xf borderId="1" fillId="0" fontId="1" numFmtId="0" xfId="0" applyBorder="1" applyFont="1"/>
    <xf borderId="0" fillId="0" fontId="1" numFmtId="167" xfId="0" applyAlignment="1" applyFont="1" applyNumberFormat="1">
      <alignment readingOrder="0"/>
    </xf>
    <xf borderId="0" fillId="3" fontId="5" numFmtId="0" xfId="0" applyAlignment="1" applyFont="1">
      <alignment readingOrder="0" vertical="top"/>
    </xf>
    <xf borderId="1" fillId="4" fontId="7" numFmtId="0" xfId="0" applyAlignment="1" applyBorder="1" applyFont="1">
      <alignment readingOrder="0"/>
    </xf>
    <xf borderId="6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/>
    </xf>
    <xf borderId="7" fillId="0" fontId="2" numFmtId="0" xfId="0" applyBorder="1" applyFont="1"/>
    <xf borderId="1" fillId="5" fontId="8" numFmtId="0" xfId="0" applyAlignment="1" applyBorder="1" applyFill="1" applyFont="1">
      <alignment readingOrder="0"/>
    </xf>
    <xf borderId="5" fillId="5" fontId="1" numFmtId="166" xfId="0" applyAlignment="1" applyBorder="1" applyFont="1" applyNumberFormat="1">
      <alignment horizontal="center" readingOrder="0" vertical="center"/>
    </xf>
    <xf borderId="1" fillId="5" fontId="1" numFmtId="166" xfId="0" applyAlignment="1" applyBorder="1" applyFont="1" applyNumberFormat="1">
      <alignment horizontal="center"/>
    </xf>
    <xf borderId="1" fillId="5" fontId="1" numFmtId="0" xfId="0" applyBorder="1" applyFont="1"/>
    <xf borderId="8" fillId="0" fontId="1" numFmtId="166" xfId="0" applyAlignment="1" applyBorder="1" applyFont="1" applyNumberFormat="1">
      <alignment horizontal="center" vertical="center"/>
    </xf>
    <xf borderId="9" fillId="0" fontId="2" numFmtId="0" xfId="0" applyBorder="1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/>
    </xf>
    <xf borderId="1" fillId="5" fontId="1" numFmtId="166" xfId="0" applyAlignment="1" applyBorder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1" numFmtId="166" xfId="0" applyAlignment="1" applyFont="1" applyNumberFormat="1">
      <alignment horizontal="center"/>
    </xf>
    <xf borderId="10" fillId="7" fontId="9" numFmtId="0" xfId="0" applyAlignment="1" applyBorder="1" applyFill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13" fillId="8" fontId="1" numFmtId="0" xfId="0" applyAlignment="1" applyBorder="1" applyFill="1" applyFont="1">
      <alignment readingOrder="0"/>
    </xf>
    <xf borderId="0" fillId="8" fontId="1" numFmtId="0" xfId="0" applyFont="1"/>
    <xf borderId="14" fillId="8" fontId="1" numFmtId="0" xfId="0" applyBorder="1" applyFont="1"/>
    <xf borderId="13" fillId="0" fontId="1" numFmtId="0" xfId="0" applyBorder="1" applyFont="1"/>
    <xf borderId="14" fillId="0" fontId="1" numFmtId="165" xfId="0" applyBorder="1" applyFont="1" applyNumberFormat="1"/>
    <xf borderId="15" fillId="0" fontId="1" numFmtId="0" xfId="0" applyBorder="1" applyFont="1"/>
    <xf borderId="16" fillId="0" fontId="1" numFmtId="0" xfId="0" applyBorder="1" applyFont="1"/>
    <xf borderId="16" fillId="0" fontId="1" numFmtId="164" xfId="0" applyBorder="1" applyFont="1" applyNumberFormat="1"/>
    <xf borderId="16" fillId="0" fontId="1" numFmtId="165" xfId="0" applyBorder="1" applyFont="1" applyNumberFormat="1"/>
    <xf borderId="17" fillId="0" fontId="1" numFmtId="165" xfId="0" applyBorder="1" applyFont="1" applyNumberFormat="1"/>
    <xf borderId="14" fillId="0" fontId="1" numFmtId="0" xfId="0" applyBorder="1" applyFont="1"/>
    <xf borderId="17" fillId="0" fontId="1" numFmtId="0" xfId="0" applyBorder="1" applyFont="1"/>
    <xf borderId="18" fillId="0" fontId="2" numFmtId="0" xfId="0" applyBorder="1" applyFont="1"/>
    <xf borderId="1" fillId="9" fontId="10" numFmtId="0" xfId="0" applyAlignment="1" applyBorder="1" applyFill="1" applyFont="1">
      <alignment horizontal="left" readingOrder="0"/>
    </xf>
    <xf borderId="1" fillId="9" fontId="1" numFmtId="0" xfId="0" applyAlignment="1" applyBorder="1" applyFont="1">
      <alignment horizontal="center" readingOrder="0"/>
    </xf>
    <xf borderId="1" fillId="9" fontId="1" numFmtId="166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horizontal="left" readingOrder="0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readingOrder="0"/>
    </xf>
    <xf borderId="1" fillId="3" fontId="1" numFmtId="166" xfId="0" applyAlignment="1" applyBorder="1" applyFont="1" applyNumberFormat="1">
      <alignment horizontal="center" readingOrder="0"/>
    </xf>
    <xf borderId="1" fillId="3" fontId="1" numFmtId="166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1" fillId="0" fontId="1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/>
    </xf>
    <xf borderId="1" fillId="6" fontId="1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104775</xdr:rowOff>
    </xdr:from>
    <xdr:ext cx="8858250" cy="12954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36</xdr:row>
      <xdr:rowOff>66675</xdr:rowOff>
    </xdr:from>
    <xdr:ext cx="8858250" cy="20002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68</xdr:row>
      <xdr:rowOff>47625</xdr:rowOff>
    </xdr:from>
    <xdr:ext cx="8924925" cy="9239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75</xdr:row>
      <xdr:rowOff>28575</xdr:rowOff>
    </xdr:from>
    <xdr:ext cx="8924925" cy="23812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49</xdr:row>
      <xdr:rowOff>161925</xdr:rowOff>
    </xdr:from>
    <xdr:ext cx="7162800" cy="26955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90</xdr:row>
      <xdr:rowOff>9525</xdr:rowOff>
    </xdr:from>
    <xdr:ext cx="8505825" cy="41338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116</xdr:row>
      <xdr:rowOff>133350</xdr:rowOff>
    </xdr:from>
    <xdr:ext cx="8677275" cy="289560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ydie Rashel" id="{d0716cc6-a91a-4567-926d-97ad300a4d5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7" dT="2025-08-23T01:18:27.00" personId="{d0716cc6-a91a-4567-926d-97ad300a4d52}" id="{69fee92c-0677-4d90-8a3c-2d6d5de1fc64}" done="0">
    <x18tc:text xml:space="preserve">Hello Isabel, Thank you for putting this budget list together. I was able to order everything except the cold hose order. My card was declined. I will check with AP on Monday. Kind regards, Lydie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jameco.com/z/SP100A-1123XBT-GN-Sunon-120mm-115-VAC-60Hz-Ball-Bearing-Fan-240mA-20W-117-CFM_102884.html" TargetMode="External"/><Relationship Id="rId10" Type="http://schemas.openxmlformats.org/officeDocument/2006/relationships/hyperlink" Target="https://heatsinkonline.com/products/7874-wide-heatsink-64as?variant=42105916653730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jameco.com/z/TM1637-JVP-Jameco-ValuePro-TM1637-4-Bits-Digital-Red-LED-Display-Module-for-Arduino-7-Segment-0-36-4-Digit-Clock-Anode-Serial-Driver-Board_2325423.html?CID=GOOG&amp;utm_source=google&amp;utm_medium=ppc&amp;utm_campaign=&amp;utm_term=&amp;utm_content=&amp;gad_source=4&amp;gad_campaignid=17336645193&amp;gbraid=0AAAAADoyMrdTfjL0XWHlsPpaIKEPx7iFT&amp;gclid=Cj0KCQjwlMfABhCWARIsADGXdy-5ZPRjeSekmAhkRNRcc-6NoqRiyiN0gZbNljShqVxzSGMeHSO1yvcaApfOEALw_wcB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amazon.com/FANOVO-Refrigerator-Recharge-Refrigerant-Self-Sealing/dp/B09S69H5DP/ref=asc_df_B09S69H5DP?mcid=3db2c85207a63eabbaad7770746b1fe6&amp;hvocijid=11630531409563374806-B09S69H5DP-&amp;hvexpln=73&amp;tag=hyprod-20&amp;linkCode=df0&amp;hvadid=721245378154&amp;hvpos=&amp;hvnetw=g&amp;hvrand=11630531409563374806&amp;hvpone=&amp;hvptwo=&amp;hvqmt=&amp;hvdev=c&amp;hvdvcmdl=&amp;hvlocint=&amp;hvlocphy=9032170&amp;hvtargid=pla-2281435178618&amp;th=1" TargetMode="External"/><Relationship Id="rId9" Type="http://schemas.openxmlformats.org/officeDocument/2006/relationships/hyperlink" Target="https://www.metalsdepot.com/aluminum-products/aluminum-sheet?product=381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www.amazon.com/GOORY-Copper-Tubing-0-328-Refrigeration/dp/B0DKT3JDPT/ref=sr_1_4?crid=166OUAN102SU1&amp;dib=eyJ2IjoiMSJ9.zoREXYMGDBq5lJJB70XHOHAROllLmtIDXSfTp1eMPC-vE5oAG35L-xflnz-svtKtyTs2h-LEhTuAPAawieOadNjOIwJ4ZMtNYMM1q-if-aZqf6dVr7FLy4rg0_q3QAbFXV7Ia-u-BZkT_zgJzpIAgUO2lMH29FlzukkA3BVIKqIO7j51gVL145T5qqX673QUMUG-bMeMX4wasBRXTmdoUSRXFpqLuiruVhObH2Nq2Ac.F07vywvrQYbg-Jypd4QmIxJm9RvZFZgQPeFRbMg0ZJU&amp;dib_tag=se&amp;keywords=copper%2Brefrigerant%2Bpiping&amp;qid=1745992492&amp;sprefix=copper%2Brefrigerant%2Bpipin%2Caps%2C377&amp;sr=8-4&amp;th=1" TargetMode="External"/><Relationship Id="rId6" Type="http://schemas.openxmlformats.org/officeDocument/2006/relationships/hyperlink" Target="https://www.amazon.com/ER2188820-ERP-Thermistor-Replaces-2188820/dp/B01M8OFHHX" TargetMode="External"/><Relationship Id="rId7" Type="http://schemas.openxmlformats.org/officeDocument/2006/relationships/hyperlink" Target="https://coldhose.com/products/r134a-refrigerant-12oz-can?variant=35532320014496" TargetMode="External"/><Relationship Id="rId8" Type="http://schemas.openxmlformats.org/officeDocument/2006/relationships/hyperlink" Target="https://www.metalsdepot.com/aluminum-products/aluminum-rectangle-tube?product=290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Antrader-2-54mm-Sockets-Female-Connector/dp/B0BVHMTY5S/ref=sr_1_3?crid=1608T3WQ9JH1W&amp;dib=eyJ2IjoiMSJ9.UELVZ9en0cN9lks_ORM_cFnkBReWEcYQWYJTO_6Kd5D0ipRzpNdmPy7UMrzErKDNdDdUds3jpnY6dd5UqpWS7IzDkHWOA8ebSa3F9z01KQM3KwGm3Kf7pEhjfvvXmERRbKDWZxkV6qfKGJqOyCjW3tx-SUbkvFF6a4WpWlOT0drs3ag5UJ395-ebQzFlD7G9t_3n4QW_nKPRywzUqq1ZLdGKQ_PJkaHg5Kze0pMYUe99llmOCFwwfcVoTzyL2nbCYdFo4uId7lHlIHnD15SJY5KX9u-CVfFmTPzJgXcSuuU.QVG94HyeFZT4nmuLStIZimuDL8S6E25k6n4WX9TReq8&amp;dib_tag=se&amp;keywords=Flat%2BRibbon%2BCable%2B2.54mm%2BPitch%2B8%2Bpin%2Bfemale%2Bidc%2Bsingle%2Brow&amp;qid=1760397657&amp;s=industrial&amp;sprefix=flat%2Bribbon%2Bcable%2B2.54mm%2Bpitch%2B8%2Bpin%2Bfemale%2Bidc%2Bsingle%2Brow%2Cindustrial%2C115&amp;sr=1-3&amp;th=1" TargetMode="External"/><Relationship Id="rId10" Type="http://schemas.openxmlformats.org/officeDocument/2006/relationships/hyperlink" Target="https://www.homedepot.com/p/Loctite-Silicone-Waterproof-Multipurpose-Adhesive-Sealant-2-7-oz-Clear-Tube-908570/303769575" TargetMode="External"/><Relationship Id="rId13" Type="http://schemas.openxmlformats.org/officeDocument/2006/relationships/hyperlink" Target="https://www.amazon.com/dp/B0D12GZLL9?ref=cm_sw_r_cso_cp_apan_dp_84NNABJ6B4F3W2MBHZTM&amp;ref_=cm_sw_r_cso_cp_apan_dp_84NNABJ6B4F3W2MBHZTM&amp;social_share=cm_sw_r_cso_cp_apan_dp_84NNABJ6B4F3W2MBHZTM&amp;titleSource=true&amp;th=1" TargetMode="External"/><Relationship Id="rId12" Type="http://schemas.openxmlformats.org/officeDocument/2006/relationships/hyperlink" Target="https://www.amazon.com/Antrader-Ribbon-Cable-2-54mm-Connectors/dp/B07P77YRB2/ref=pd_bxgy_d_sccl_1/134-2577932-9484742?pd_rd_w=0cif6&amp;content-id=amzn1.sym.de9a1315-b9df-4c24-863c-7afcb2e4cc0a&amp;pf_rd_p=de9a1315-b9df-4c24-863c-7afcb2e4cc0a&amp;pf_rd_r=E2MM69KQTE3N5XCA6H8P&amp;pd_rd_wg=GcTcH&amp;pd_rd_r=5ab76144-6932-4aa8-9794-1a32619b262f&amp;pd_rd_i=B07P77YRB2&amp;th=1" TargetMode="External"/><Relationship Id="rId1" Type="http://schemas.openxmlformats.org/officeDocument/2006/relationships/hyperlink" Target="https://www.amazon.com/BOJACK-DS18B20-Temperature-Stainless-Waterproof/dp/B09NVFJYPS/ref=sr_1_1?crid=3S6TQVDOPXQM5&amp;dib=eyJ2IjoiMSJ9.70OYroGThH_uuUI2iTvLq78NRZASO883SXzPr62pz2pTsj9vTaqd0d9KKgZGl-K8NxxjgRM4z1TyTeqREo6td-d5WgqVA5J5aK8Dbfu7EuKaxtuTQUgden1_8lgnj5heEGYdr-iMpnrPj30L8RHu6-sYhkry6eV8kFvpF6_wRJYoGW8S7xj-wip2cfZMF_Ljew9i5kQPR1rz_n-wAXTwKtS3DB83uJKTA-PLvzsuZLonBpOP27yvOn289-yiO8f3btI9qWyFO8T5iuBUPJqMybebgs6PDPnzGvCYGed366A.wiFyS-q5FnVYgl_kzch9dIK4ohxg6WXdOdtpJD5xt1k&amp;dib_tag=se&amp;keywords=ds18b20%2Bsensor&amp;qid=1758678055&amp;s=industrial&amp;sprefix=ds18b20%2Bsensor%2Cindustrial%2C149&amp;sr=1-1&amp;th=1" TargetMode="External"/><Relationship Id="rId2" Type="http://schemas.openxmlformats.org/officeDocument/2006/relationships/hyperlink" Target="https://www.amazon.com/dp/B00LW15A4W?ref=ppx_pop_mob_ap_share&amp;th=1" TargetMode="External"/><Relationship Id="rId3" Type="http://schemas.openxmlformats.org/officeDocument/2006/relationships/hyperlink" Target="https://www.amazon.com/dp/B093GW6SZ1?ref=ppx_pop_mob_ap_share" TargetMode="External"/><Relationship Id="rId4" Type="http://schemas.openxmlformats.org/officeDocument/2006/relationships/hyperlink" Target="https://www.amazon.com/dp/B0FGJ7N5JG?ref=cm_sw_r_cso_cp_apan_dp_KKCCRM6T6205KC28W2H2&amp;ref_=cm_sw_r_cso_cp_apan_dp_KKCCRM6T6205KC28W2H2&amp;social_share=cm_sw_r_cso_cp_apan_dp_KKCCRM6T6205KC28W2H2&amp;titleSource=true&amp;th=1" TargetMode="External"/><Relationship Id="rId9" Type="http://schemas.openxmlformats.org/officeDocument/2006/relationships/hyperlink" Target="https://www.jameco.com/z/TM1637-JVP-Jameco-ValuePro-TM1637-4-Bits-Digital-Red-LED-Display-Module-for-Arduino-7-Segment-0-36-4-Digit-Clock-Anode-Serial-Driver-Board_2325423.html?CID=GOOG&amp;utm_source=google&amp;utm_medium=ppc&amp;utm_campaign=&amp;utm_term=&amp;utm_content=&amp;gad_source=4&amp;gad_campaignid=17336645193&amp;gbraid=0AAAAADoyMrdTfjL0XWHlsPpaIKEPx7iFT&amp;gclid=Cj0KCQjwlMfABhCWARIsADGXdy-5ZPRjeSekmAhkRNRcc-6NoqRiyiN0gZbNljShqVxzSGMeHSO1yvcaApfOEALw_wcB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amazon.com/dp/B07Q7NZTQS?ref=cm_sw_r_cso_cp_apin_dp_6DDPGGQVQRJAHH7GS73D&amp;ref_=cm_sw_r_cso_cp_apin_dp_6DDPGGQVQRJAHH7GS73D&amp;social_share=cm_sw_r_cso_cp_apin_dp_6DDPGGQVQRJAHH7GS73D&amp;titleSource=true&amp;th=1" TargetMode="External"/><Relationship Id="rId5" Type="http://schemas.openxmlformats.org/officeDocument/2006/relationships/hyperlink" Target="https://www.amazon.com/dp/B0F4P352BB?ref=ppx_pop_mob_ap_share" TargetMode="External"/><Relationship Id="rId6" Type="http://schemas.openxmlformats.org/officeDocument/2006/relationships/hyperlink" Target="https://www.metalsdepot.com/aluminum-products/aluminum-sheet?product=381" TargetMode="External"/><Relationship Id="rId7" Type="http://schemas.openxmlformats.org/officeDocument/2006/relationships/hyperlink" Target="https://heatsinkonline.com/products/7874-wide-heatsink-64as?variant=42105916653730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" TargetMode="External"/><Relationship Id="rId8" Type="http://schemas.openxmlformats.org/officeDocument/2006/relationships/hyperlink" Target="https://www.jameco.com/z/SP100A-1123XBT-GN-Sunon-120mm-115-VAC-60Hz-Ball-Bearing-Fan-240mA-20W-117-CFM_1028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2.5"/>
    <col customWidth="1" min="3" max="3" width="22.75"/>
    <col customWidth="1" min="4" max="4" width="10.5"/>
    <col customWidth="1" min="5" max="5" width="11.75"/>
    <col customWidth="1" min="6" max="6" width="17.0"/>
    <col customWidth="1" min="7" max="7" width="20.13"/>
    <col customWidth="1" min="8" max="8" width="23.88"/>
    <col customWidth="1" min="9" max="9" width="45.25"/>
    <col customWidth="1" min="10" max="10" width="33.75"/>
  </cols>
  <sheetData>
    <row r="1">
      <c r="F1" s="1"/>
      <c r="G1" s="2"/>
      <c r="H1" s="2"/>
    </row>
    <row r="2">
      <c r="B2" s="3" t="s">
        <v>0</v>
      </c>
      <c r="C2" s="3" t="s">
        <v>1</v>
      </c>
    </row>
    <row r="3">
      <c r="B3" s="3" t="s">
        <v>2</v>
      </c>
      <c r="C3" s="3" t="s">
        <v>3</v>
      </c>
    </row>
    <row r="4">
      <c r="B4" s="4" t="s">
        <v>4</v>
      </c>
      <c r="C4" s="5"/>
    </row>
    <row r="5">
      <c r="B5" s="3" t="s">
        <v>5</v>
      </c>
      <c r="C5" s="3" t="s">
        <v>6</v>
      </c>
    </row>
    <row r="6">
      <c r="B6" s="3" t="s">
        <v>7</v>
      </c>
      <c r="C6" s="3" t="s">
        <v>8</v>
      </c>
    </row>
    <row r="7">
      <c r="B7" s="3" t="s">
        <v>9</v>
      </c>
      <c r="C7" s="3" t="s">
        <v>10</v>
      </c>
    </row>
    <row r="8">
      <c r="B8" s="3" t="s">
        <v>11</v>
      </c>
      <c r="C8" s="3" t="s">
        <v>12</v>
      </c>
    </row>
    <row r="9">
      <c r="B9" s="3" t="s">
        <v>13</v>
      </c>
      <c r="C9" s="3" t="s">
        <v>14</v>
      </c>
      <c r="F9" s="1"/>
      <c r="G9" s="2"/>
      <c r="H9" s="2"/>
    </row>
    <row r="10">
      <c r="A10" s="6"/>
      <c r="B10" s="3" t="s">
        <v>15</v>
      </c>
      <c r="C10" s="3" t="s">
        <v>16</v>
      </c>
      <c r="D10" s="6"/>
      <c r="E10" s="6"/>
      <c r="F10" s="7"/>
      <c r="G10" s="8"/>
      <c r="H10" s="8"/>
    </row>
    <row r="11">
      <c r="A11" s="9"/>
    </row>
    <row r="12">
      <c r="A12" s="6"/>
    </row>
    <row r="13">
      <c r="A13" s="6"/>
      <c r="B13" s="10" t="s">
        <v>17</v>
      </c>
      <c r="C13" s="10" t="s">
        <v>18</v>
      </c>
      <c r="D13" s="10" t="s">
        <v>19</v>
      </c>
      <c r="E13" s="10" t="s">
        <v>20</v>
      </c>
      <c r="F13" s="11" t="s">
        <v>21</v>
      </c>
      <c r="G13" s="11" t="s">
        <v>22</v>
      </c>
      <c r="H13" s="11" t="s">
        <v>23</v>
      </c>
      <c r="I13" s="11" t="s">
        <v>24</v>
      </c>
    </row>
    <row r="14">
      <c r="A14" s="12"/>
      <c r="B14" s="13" t="s">
        <v>25</v>
      </c>
      <c r="C14" s="14" t="s">
        <v>26</v>
      </c>
      <c r="D14" s="15">
        <v>1.0</v>
      </c>
      <c r="E14" s="16">
        <v>20.99</v>
      </c>
      <c r="F14" s="17">
        <f t="shared" ref="F14:F18" si="1">D14*E14</f>
        <v>20.99</v>
      </c>
      <c r="G14" s="18">
        <f>sum(F14:F16)*0.1</f>
        <v>4.752</v>
      </c>
      <c r="H14" s="19">
        <f>F14+F15+F16</f>
        <v>47.52</v>
      </c>
      <c r="I14" s="20"/>
      <c r="J14" s="21"/>
    </row>
    <row r="15">
      <c r="A15" s="22"/>
      <c r="B15" s="23" t="s">
        <v>27</v>
      </c>
      <c r="C15" s="14" t="s">
        <v>26</v>
      </c>
      <c r="D15" s="15">
        <v>1.0</v>
      </c>
      <c r="E15" s="16">
        <v>16.59</v>
      </c>
      <c r="F15" s="17">
        <f t="shared" si="1"/>
        <v>16.59</v>
      </c>
      <c r="G15" s="24"/>
      <c r="H15" s="24"/>
      <c r="I15" s="14" t="s">
        <v>28</v>
      </c>
      <c r="J15" s="21"/>
    </row>
    <row r="16">
      <c r="A16" s="6"/>
      <c r="B16" s="13" t="s">
        <v>29</v>
      </c>
      <c r="C16" s="3" t="s">
        <v>26</v>
      </c>
      <c r="D16" s="25">
        <v>2.0</v>
      </c>
      <c r="E16" s="26">
        <v>4.97</v>
      </c>
      <c r="F16" s="27">
        <f t="shared" si="1"/>
        <v>9.94</v>
      </c>
      <c r="G16" s="28"/>
      <c r="H16" s="28"/>
      <c r="I16" s="3" t="s">
        <v>30</v>
      </c>
      <c r="J16" s="21"/>
    </row>
    <row r="17">
      <c r="A17" s="6"/>
      <c r="B17" s="29" t="s">
        <v>31</v>
      </c>
      <c r="C17" s="14" t="s">
        <v>32</v>
      </c>
      <c r="D17" s="15">
        <v>1.0</v>
      </c>
      <c r="E17" s="16">
        <v>14.0</v>
      </c>
      <c r="F17" s="16">
        <f t="shared" si="1"/>
        <v>14</v>
      </c>
      <c r="G17" s="30">
        <v>11.32</v>
      </c>
      <c r="H17" s="31">
        <f>G17+F17</f>
        <v>25.32</v>
      </c>
      <c r="I17" s="32"/>
    </row>
    <row r="18">
      <c r="A18" s="6"/>
      <c r="B18" s="13" t="s">
        <v>33</v>
      </c>
      <c r="C18" s="3" t="s">
        <v>34</v>
      </c>
      <c r="D18" s="25">
        <v>12.0</v>
      </c>
      <c r="E18" s="26">
        <v>11.08</v>
      </c>
      <c r="F18" s="27">
        <f t="shared" si="1"/>
        <v>132.96</v>
      </c>
      <c r="G18" s="18">
        <v>19.58</v>
      </c>
      <c r="H18" s="33">
        <f>F18+F19+G18</f>
        <v>243.34</v>
      </c>
      <c r="I18" s="3" t="s">
        <v>35</v>
      </c>
    </row>
    <row r="19">
      <c r="A19" s="6"/>
      <c r="B19" s="13" t="s">
        <v>36</v>
      </c>
      <c r="C19" s="3" t="s">
        <v>34</v>
      </c>
      <c r="D19" s="25">
        <v>2.0</v>
      </c>
      <c r="E19" s="26">
        <v>45.4</v>
      </c>
      <c r="F19" s="27">
        <f>E19*D19</f>
        <v>90.8</v>
      </c>
      <c r="G19" s="28"/>
      <c r="H19" s="34"/>
      <c r="I19" s="3" t="s">
        <v>37</v>
      </c>
    </row>
    <row r="20">
      <c r="A20" s="6"/>
      <c r="B20" s="29" t="s">
        <v>38</v>
      </c>
      <c r="C20" s="35" t="s">
        <v>39</v>
      </c>
      <c r="D20" s="36">
        <v>8.0</v>
      </c>
      <c r="E20" s="37">
        <v>11.39</v>
      </c>
      <c r="F20" s="31">
        <f t="shared" ref="F20:F22" si="2">D20*E20</f>
        <v>91.12</v>
      </c>
      <c r="G20" s="37">
        <f>12.87+8.55</f>
        <v>21.42</v>
      </c>
      <c r="H20" s="31">
        <f>G20+F20</f>
        <v>112.54</v>
      </c>
      <c r="I20" s="35" t="s">
        <v>40</v>
      </c>
    </row>
    <row r="21">
      <c r="A21" s="6"/>
      <c r="B21" s="13" t="s">
        <v>41</v>
      </c>
      <c r="C21" s="3" t="s">
        <v>42</v>
      </c>
      <c r="D21" s="25">
        <v>1.0</v>
      </c>
      <c r="E21" s="26">
        <v>13.95</v>
      </c>
      <c r="F21" s="27">
        <f t="shared" si="2"/>
        <v>13.95</v>
      </c>
      <c r="G21" s="18">
        <f>7.79 + 2.09 + 2.62</f>
        <v>12.5</v>
      </c>
      <c r="H21" s="19">
        <f>F21+F22+G21</f>
        <v>30.4</v>
      </c>
      <c r="I21" s="3"/>
    </row>
    <row r="22">
      <c r="A22" s="6"/>
      <c r="B22" s="13" t="s">
        <v>43</v>
      </c>
      <c r="C22" s="3" t="s">
        <v>42</v>
      </c>
      <c r="D22" s="25">
        <v>1.0</v>
      </c>
      <c r="E22" s="26">
        <v>3.95</v>
      </c>
      <c r="F22" s="27">
        <f t="shared" si="2"/>
        <v>3.95</v>
      </c>
      <c r="G22" s="28"/>
      <c r="H22" s="28"/>
      <c r="I22" s="3" t="s">
        <v>44</v>
      </c>
    </row>
    <row r="23">
      <c r="A23" s="6"/>
      <c r="G23" s="38" t="s">
        <v>45</v>
      </c>
      <c r="H23" s="39">
        <f>sum(H14:H22)</f>
        <v>459.12</v>
      </c>
    </row>
    <row r="24">
      <c r="A24" s="6"/>
    </row>
    <row r="25">
      <c r="A25" s="6"/>
    </row>
    <row r="26">
      <c r="A26" s="6"/>
      <c r="B26" s="40" t="s">
        <v>46</v>
      </c>
      <c r="C26" s="41"/>
      <c r="D26" s="41"/>
      <c r="E26" s="41"/>
      <c r="F26" s="41"/>
      <c r="G26" s="41"/>
      <c r="H26" s="42"/>
    </row>
    <row r="27">
      <c r="B27" s="43" t="s">
        <v>47</v>
      </c>
      <c r="C27" s="44"/>
      <c r="D27" s="44"/>
      <c r="E27" s="44"/>
      <c r="F27" s="44"/>
      <c r="G27" s="44"/>
      <c r="H27" s="45"/>
    </row>
    <row r="28">
      <c r="B28" s="46"/>
      <c r="F28" s="1"/>
      <c r="G28" s="2"/>
      <c r="H28" s="47"/>
    </row>
    <row r="29">
      <c r="B29" s="46"/>
      <c r="F29" s="1"/>
      <c r="G29" s="2"/>
      <c r="H29" s="47"/>
    </row>
    <row r="30">
      <c r="B30" s="46"/>
      <c r="F30" s="1"/>
      <c r="G30" s="2"/>
      <c r="H30" s="47"/>
    </row>
    <row r="31">
      <c r="B31" s="46"/>
      <c r="F31" s="1"/>
      <c r="G31" s="2"/>
      <c r="H31" s="47"/>
    </row>
    <row r="32">
      <c r="B32" s="46"/>
      <c r="F32" s="1"/>
      <c r="G32" s="2"/>
      <c r="H32" s="47"/>
    </row>
    <row r="33">
      <c r="B33" s="46"/>
      <c r="F33" s="1"/>
      <c r="G33" s="2"/>
      <c r="H33" s="47"/>
    </row>
    <row r="34">
      <c r="B34" s="46"/>
      <c r="F34" s="1"/>
      <c r="G34" s="2"/>
      <c r="H34" s="47"/>
    </row>
    <row r="35">
      <c r="B35" s="46"/>
      <c r="F35" s="1"/>
      <c r="G35" s="2"/>
      <c r="H35" s="47"/>
    </row>
    <row r="36">
      <c r="B36" s="43" t="s">
        <v>48</v>
      </c>
      <c r="C36" s="44"/>
      <c r="D36" s="44"/>
      <c r="E36" s="44"/>
      <c r="F36" s="44"/>
      <c r="G36" s="44"/>
      <c r="H36" s="45"/>
    </row>
    <row r="37">
      <c r="B37" s="46"/>
      <c r="F37" s="1"/>
      <c r="G37" s="2"/>
      <c r="H37" s="47"/>
    </row>
    <row r="38">
      <c r="B38" s="46"/>
      <c r="F38" s="1"/>
      <c r="G38" s="2"/>
      <c r="H38" s="47"/>
    </row>
    <row r="39">
      <c r="B39" s="46"/>
      <c r="F39" s="1"/>
      <c r="G39" s="2"/>
      <c r="H39" s="47"/>
    </row>
    <row r="40">
      <c r="B40" s="46"/>
      <c r="F40" s="1"/>
      <c r="G40" s="2"/>
      <c r="H40" s="47"/>
    </row>
    <row r="41">
      <c r="B41" s="46"/>
      <c r="F41" s="1"/>
      <c r="G41" s="2"/>
      <c r="H41" s="47"/>
    </row>
    <row r="42">
      <c r="B42" s="46"/>
      <c r="F42" s="1"/>
      <c r="G42" s="2"/>
      <c r="H42" s="47"/>
    </row>
    <row r="43">
      <c r="B43" s="46"/>
      <c r="F43" s="1"/>
      <c r="G43" s="2"/>
      <c r="H43" s="47"/>
    </row>
    <row r="44">
      <c r="B44" s="46"/>
      <c r="F44" s="1"/>
      <c r="G44" s="2"/>
      <c r="H44" s="47"/>
    </row>
    <row r="45">
      <c r="B45" s="46"/>
      <c r="F45" s="1"/>
      <c r="G45" s="2"/>
      <c r="H45" s="47"/>
    </row>
    <row r="46">
      <c r="B46" s="46"/>
      <c r="F46" s="1"/>
      <c r="G46" s="2"/>
      <c r="H46" s="47"/>
    </row>
    <row r="47">
      <c r="B47" s="46"/>
      <c r="F47" s="1"/>
      <c r="G47" s="2"/>
      <c r="H47" s="47"/>
    </row>
    <row r="48">
      <c r="B48" s="46"/>
      <c r="F48" s="1"/>
      <c r="G48" s="2"/>
      <c r="H48" s="47"/>
    </row>
    <row r="49">
      <c r="B49" s="43" t="s">
        <v>49</v>
      </c>
      <c r="C49" s="44"/>
      <c r="D49" s="44"/>
      <c r="E49" s="44"/>
      <c r="F49" s="44"/>
      <c r="G49" s="44"/>
      <c r="H49" s="45"/>
    </row>
    <row r="50">
      <c r="B50" s="46"/>
      <c r="F50" s="1"/>
      <c r="G50" s="2"/>
      <c r="H50" s="47"/>
    </row>
    <row r="51">
      <c r="B51" s="46"/>
      <c r="F51" s="1"/>
      <c r="G51" s="2"/>
      <c r="H51" s="47"/>
    </row>
    <row r="52">
      <c r="B52" s="46"/>
      <c r="F52" s="1"/>
      <c r="G52" s="2"/>
      <c r="H52" s="47"/>
    </row>
    <row r="53">
      <c r="B53" s="46"/>
      <c r="F53" s="1"/>
      <c r="G53" s="2"/>
      <c r="H53" s="47"/>
    </row>
    <row r="54">
      <c r="B54" s="46"/>
      <c r="F54" s="1"/>
      <c r="G54" s="2"/>
      <c r="H54" s="47"/>
    </row>
    <row r="55">
      <c r="B55" s="46"/>
      <c r="F55" s="1"/>
      <c r="G55" s="2"/>
      <c r="H55" s="47"/>
    </row>
    <row r="56">
      <c r="B56" s="46"/>
      <c r="F56" s="1"/>
      <c r="G56" s="2"/>
      <c r="H56" s="47"/>
    </row>
    <row r="57">
      <c r="B57" s="46"/>
      <c r="F57" s="1"/>
      <c r="G57" s="2"/>
      <c r="H57" s="47"/>
    </row>
    <row r="58">
      <c r="B58" s="46"/>
      <c r="F58" s="1"/>
      <c r="G58" s="2"/>
      <c r="H58" s="47"/>
    </row>
    <row r="59">
      <c r="B59" s="46"/>
      <c r="F59" s="1"/>
      <c r="G59" s="2"/>
      <c r="H59" s="47"/>
    </row>
    <row r="60">
      <c r="B60" s="46"/>
      <c r="F60" s="1"/>
      <c r="G60" s="2"/>
      <c r="H60" s="47"/>
    </row>
    <row r="61">
      <c r="B61" s="46"/>
      <c r="F61" s="1"/>
      <c r="G61" s="2"/>
      <c r="H61" s="47"/>
    </row>
    <row r="62">
      <c r="B62" s="46"/>
      <c r="F62" s="1"/>
      <c r="G62" s="2"/>
      <c r="H62" s="47"/>
    </row>
    <row r="63">
      <c r="B63" s="46"/>
      <c r="F63" s="1"/>
      <c r="G63" s="2"/>
      <c r="H63" s="47"/>
    </row>
    <row r="64">
      <c r="B64" s="48"/>
      <c r="C64" s="49"/>
      <c r="D64" s="49"/>
      <c r="E64" s="49"/>
      <c r="F64" s="50"/>
      <c r="G64" s="51"/>
      <c r="H64" s="52"/>
    </row>
    <row r="65">
      <c r="F65" s="1"/>
      <c r="G65" s="2"/>
      <c r="H65" s="2"/>
    </row>
    <row r="66">
      <c r="F66" s="1"/>
      <c r="G66" s="2"/>
      <c r="H66" s="2"/>
    </row>
    <row r="67">
      <c r="B67" s="40" t="s">
        <v>50</v>
      </c>
      <c r="C67" s="41"/>
      <c r="D67" s="41"/>
      <c r="E67" s="41"/>
      <c r="F67" s="41"/>
      <c r="G67" s="41"/>
      <c r="H67" s="42"/>
    </row>
    <row r="68">
      <c r="B68" s="43" t="s">
        <v>51</v>
      </c>
      <c r="C68" s="44"/>
      <c r="D68" s="44"/>
      <c r="E68" s="44"/>
      <c r="F68" s="44"/>
      <c r="G68" s="44"/>
      <c r="H68" s="45"/>
    </row>
    <row r="69">
      <c r="B69" s="46"/>
      <c r="F69" s="1"/>
      <c r="G69" s="2"/>
      <c r="H69" s="47"/>
    </row>
    <row r="70">
      <c r="B70" s="46"/>
      <c r="F70" s="1"/>
      <c r="G70" s="2"/>
      <c r="H70" s="47"/>
    </row>
    <row r="71">
      <c r="B71" s="46"/>
      <c r="F71" s="1"/>
      <c r="G71" s="2"/>
      <c r="H71" s="47"/>
    </row>
    <row r="72">
      <c r="B72" s="46"/>
      <c r="F72" s="1"/>
      <c r="G72" s="2"/>
      <c r="H72" s="47"/>
    </row>
    <row r="73">
      <c r="B73" s="46"/>
      <c r="F73" s="1"/>
      <c r="G73" s="2"/>
      <c r="H73" s="47"/>
    </row>
    <row r="74">
      <c r="B74" s="46"/>
      <c r="F74" s="1"/>
      <c r="G74" s="2"/>
      <c r="H74" s="47"/>
    </row>
    <row r="75">
      <c r="B75" s="43" t="s">
        <v>52</v>
      </c>
      <c r="C75" s="44"/>
      <c r="D75" s="44"/>
      <c r="E75" s="44"/>
      <c r="F75" s="44"/>
      <c r="G75" s="44"/>
      <c r="H75" s="45"/>
    </row>
    <row r="76">
      <c r="B76" s="46"/>
      <c r="F76" s="1"/>
      <c r="G76" s="2"/>
      <c r="H76" s="47"/>
    </row>
    <row r="77">
      <c r="B77" s="46"/>
      <c r="F77" s="1"/>
      <c r="G77" s="2"/>
      <c r="H77" s="47"/>
    </row>
    <row r="78">
      <c r="B78" s="46"/>
      <c r="F78" s="1"/>
      <c r="G78" s="2"/>
      <c r="H78" s="47"/>
    </row>
    <row r="79">
      <c r="B79" s="46"/>
      <c r="F79" s="1"/>
      <c r="G79" s="2"/>
      <c r="H79" s="47"/>
    </row>
    <row r="80">
      <c r="B80" s="46"/>
      <c r="F80" s="1"/>
      <c r="G80" s="2"/>
      <c r="H80" s="47"/>
    </row>
    <row r="81">
      <c r="B81" s="46"/>
      <c r="F81" s="1"/>
      <c r="G81" s="2"/>
      <c r="H81" s="47"/>
    </row>
    <row r="82">
      <c r="B82" s="46"/>
      <c r="F82" s="1"/>
      <c r="G82" s="2"/>
      <c r="H82" s="47"/>
    </row>
    <row r="83">
      <c r="B83" s="46"/>
      <c r="F83" s="1"/>
      <c r="G83" s="2"/>
      <c r="H83" s="47"/>
    </row>
    <row r="84">
      <c r="B84" s="46"/>
      <c r="F84" s="1"/>
      <c r="G84" s="2"/>
      <c r="H84" s="47"/>
    </row>
    <row r="85">
      <c r="B85" s="46"/>
      <c r="F85" s="1"/>
      <c r="G85" s="2"/>
      <c r="H85" s="47"/>
    </row>
    <row r="86">
      <c r="B86" s="46"/>
      <c r="F86" s="1"/>
      <c r="G86" s="2"/>
      <c r="H86" s="47"/>
    </row>
    <row r="87">
      <c r="B87" s="46"/>
      <c r="F87" s="1"/>
      <c r="G87" s="2"/>
      <c r="H87" s="47"/>
    </row>
    <row r="88">
      <c r="B88" s="48"/>
      <c r="C88" s="49"/>
      <c r="D88" s="49"/>
      <c r="E88" s="49"/>
      <c r="F88" s="50"/>
      <c r="G88" s="51"/>
      <c r="H88" s="52"/>
    </row>
    <row r="89">
      <c r="F89" s="1"/>
      <c r="G89" s="2"/>
      <c r="H89" s="2"/>
    </row>
    <row r="90">
      <c r="B90" s="40" t="s">
        <v>53</v>
      </c>
      <c r="C90" s="41"/>
      <c r="D90" s="41"/>
      <c r="E90" s="41"/>
      <c r="F90" s="41"/>
      <c r="G90" s="41"/>
      <c r="H90" s="42"/>
    </row>
    <row r="91">
      <c r="B91" s="46"/>
      <c r="H91" s="53"/>
    </row>
    <row r="92">
      <c r="B92" s="46"/>
      <c r="H92" s="53"/>
    </row>
    <row r="93">
      <c r="B93" s="46"/>
      <c r="H93" s="53"/>
    </row>
    <row r="94">
      <c r="B94" s="46"/>
      <c r="H94" s="53"/>
    </row>
    <row r="95">
      <c r="B95" s="46"/>
      <c r="H95" s="53"/>
    </row>
    <row r="96">
      <c r="B96" s="46"/>
      <c r="H96" s="53"/>
    </row>
    <row r="97">
      <c r="B97" s="46"/>
      <c r="H97" s="53"/>
    </row>
    <row r="98">
      <c r="B98" s="46"/>
      <c r="H98" s="53"/>
    </row>
    <row r="99">
      <c r="B99" s="46"/>
      <c r="H99" s="53"/>
    </row>
    <row r="100">
      <c r="B100" s="46"/>
      <c r="H100" s="53"/>
    </row>
    <row r="101">
      <c r="B101" s="46"/>
      <c r="H101" s="53"/>
    </row>
    <row r="102">
      <c r="B102" s="46"/>
      <c r="H102" s="53"/>
    </row>
    <row r="103">
      <c r="B103" s="46"/>
      <c r="H103" s="53"/>
    </row>
    <row r="104">
      <c r="B104" s="46"/>
      <c r="H104" s="53"/>
    </row>
    <row r="105">
      <c r="B105" s="46"/>
      <c r="H105" s="53"/>
    </row>
    <row r="106">
      <c r="B106" s="46"/>
      <c r="H106" s="53"/>
    </row>
    <row r="107">
      <c r="B107" s="46"/>
      <c r="H107" s="53"/>
    </row>
    <row r="108">
      <c r="B108" s="46"/>
      <c r="H108" s="53"/>
    </row>
    <row r="109">
      <c r="B109" s="46"/>
      <c r="H109" s="53"/>
    </row>
    <row r="110">
      <c r="B110" s="46"/>
      <c r="H110" s="53"/>
    </row>
    <row r="111">
      <c r="B111" s="46"/>
      <c r="H111" s="53"/>
    </row>
    <row r="112">
      <c r="B112" s="48"/>
      <c r="C112" s="49"/>
      <c r="D112" s="49"/>
      <c r="E112" s="49"/>
      <c r="F112" s="49"/>
      <c r="G112" s="49"/>
      <c r="H112" s="54"/>
    </row>
    <row r="115">
      <c r="B115" s="40" t="s">
        <v>54</v>
      </c>
      <c r="C115" s="41"/>
      <c r="D115" s="41"/>
      <c r="E115" s="41"/>
      <c r="F115" s="41"/>
      <c r="G115" s="41"/>
      <c r="H115" s="42"/>
    </row>
    <row r="116">
      <c r="B116" s="43" t="s">
        <v>55</v>
      </c>
      <c r="C116" s="44"/>
      <c r="D116" s="44"/>
      <c r="E116" s="44"/>
      <c r="F116" s="44"/>
      <c r="G116" s="44"/>
      <c r="H116" s="45"/>
    </row>
    <row r="117">
      <c r="B117" s="46"/>
      <c r="F117" s="1"/>
      <c r="G117" s="2"/>
      <c r="H117" s="47"/>
    </row>
    <row r="118">
      <c r="B118" s="46"/>
      <c r="F118" s="1"/>
      <c r="G118" s="2"/>
      <c r="H118" s="47"/>
    </row>
    <row r="119">
      <c r="B119" s="46"/>
      <c r="F119" s="1"/>
      <c r="G119" s="2"/>
      <c r="H119" s="47"/>
    </row>
    <row r="120">
      <c r="B120" s="46"/>
      <c r="F120" s="1"/>
      <c r="G120" s="2"/>
      <c r="H120" s="47"/>
    </row>
    <row r="121">
      <c r="B121" s="46"/>
      <c r="F121" s="1"/>
      <c r="G121" s="2"/>
      <c r="H121" s="47"/>
    </row>
    <row r="122">
      <c r="B122" s="46"/>
      <c r="F122" s="1"/>
      <c r="G122" s="2"/>
      <c r="H122" s="47"/>
    </row>
    <row r="123">
      <c r="B123" s="46"/>
      <c r="F123" s="1"/>
      <c r="G123" s="2"/>
      <c r="H123" s="47"/>
    </row>
    <row r="124">
      <c r="B124" s="46"/>
      <c r="F124" s="1"/>
      <c r="G124" s="2"/>
      <c r="H124" s="47"/>
    </row>
    <row r="125">
      <c r="B125" s="46"/>
      <c r="F125" s="1"/>
      <c r="G125" s="2"/>
      <c r="H125" s="47"/>
    </row>
    <row r="126">
      <c r="B126" s="46"/>
      <c r="F126" s="1"/>
      <c r="G126" s="2"/>
      <c r="H126" s="47"/>
    </row>
    <row r="127">
      <c r="B127" s="46"/>
      <c r="F127" s="1"/>
      <c r="G127" s="2"/>
      <c r="H127" s="47"/>
    </row>
    <row r="128">
      <c r="B128" s="46"/>
      <c r="F128" s="1"/>
      <c r="G128" s="2"/>
      <c r="H128" s="47"/>
    </row>
    <row r="129">
      <c r="B129" s="46"/>
      <c r="F129" s="1"/>
      <c r="G129" s="2"/>
      <c r="H129" s="47"/>
    </row>
    <row r="130">
      <c r="B130" s="46"/>
      <c r="F130" s="1"/>
      <c r="G130" s="2"/>
      <c r="H130" s="47"/>
    </row>
    <row r="131">
      <c r="B131" s="46"/>
      <c r="F131" s="1"/>
      <c r="G131" s="2"/>
      <c r="H131" s="47"/>
    </row>
    <row r="132">
      <c r="B132" s="46"/>
      <c r="F132" s="1"/>
      <c r="G132" s="2"/>
      <c r="H132" s="47"/>
    </row>
    <row r="133">
      <c r="B133" s="48"/>
      <c r="C133" s="49"/>
      <c r="D133" s="49"/>
      <c r="E133" s="49"/>
      <c r="F133" s="50"/>
      <c r="G133" s="51"/>
      <c r="H133" s="52"/>
    </row>
    <row r="134">
      <c r="F134" s="1"/>
      <c r="G134" s="2"/>
      <c r="H134" s="2"/>
    </row>
    <row r="135">
      <c r="F135" s="1"/>
      <c r="G135" s="2"/>
      <c r="H135" s="2"/>
    </row>
    <row r="136">
      <c r="F136" s="1"/>
      <c r="G136" s="2"/>
      <c r="H136" s="2"/>
    </row>
    <row r="137">
      <c r="F137" s="1"/>
      <c r="G137" s="2"/>
      <c r="H137" s="2"/>
    </row>
    <row r="138">
      <c r="F138" s="1"/>
      <c r="G138" s="2"/>
      <c r="H138" s="2"/>
    </row>
    <row r="139">
      <c r="F139" s="1"/>
      <c r="G139" s="2"/>
      <c r="H139" s="2"/>
    </row>
    <row r="140">
      <c r="F140" s="1"/>
      <c r="G140" s="2"/>
      <c r="H140" s="2"/>
    </row>
    <row r="141">
      <c r="F141" s="1"/>
      <c r="G141" s="2"/>
      <c r="H141" s="2"/>
    </row>
    <row r="142">
      <c r="F142" s="1"/>
      <c r="G142" s="2"/>
      <c r="H142" s="2"/>
    </row>
    <row r="143">
      <c r="F143" s="1"/>
      <c r="G143" s="2"/>
      <c r="H143" s="2"/>
    </row>
    <row r="144">
      <c r="F144" s="1"/>
      <c r="G144" s="2"/>
      <c r="H144" s="2"/>
    </row>
    <row r="145">
      <c r="F145" s="1"/>
      <c r="G145" s="2"/>
      <c r="H145" s="2"/>
    </row>
    <row r="146">
      <c r="F146" s="1"/>
      <c r="G146" s="2"/>
      <c r="H146" s="2"/>
    </row>
    <row r="147">
      <c r="F147" s="1"/>
      <c r="G147" s="2"/>
      <c r="H147" s="2"/>
    </row>
    <row r="148">
      <c r="F148" s="1"/>
      <c r="G148" s="2"/>
      <c r="H148" s="2"/>
    </row>
    <row r="149">
      <c r="F149" s="1"/>
      <c r="G149" s="2"/>
      <c r="H149" s="2"/>
    </row>
    <row r="150">
      <c r="F150" s="1"/>
      <c r="G150" s="2"/>
      <c r="H150" s="2"/>
    </row>
    <row r="151">
      <c r="F151" s="1"/>
      <c r="G151" s="2"/>
      <c r="H151" s="2"/>
    </row>
    <row r="152">
      <c r="F152" s="1"/>
      <c r="G152" s="2"/>
      <c r="H152" s="2"/>
    </row>
    <row r="153">
      <c r="F153" s="1"/>
      <c r="G153" s="2"/>
      <c r="H153" s="2"/>
    </row>
    <row r="154">
      <c r="F154" s="1"/>
      <c r="G154" s="2"/>
      <c r="H154" s="2"/>
    </row>
    <row r="155">
      <c r="F155" s="1"/>
      <c r="G155" s="2"/>
      <c r="H155" s="2"/>
    </row>
    <row r="156">
      <c r="F156" s="1"/>
      <c r="G156" s="2"/>
      <c r="H156" s="2"/>
    </row>
    <row r="157">
      <c r="F157" s="1"/>
      <c r="G157" s="2"/>
      <c r="H157" s="2"/>
    </row>
    <row r="158">
      <c r="F158" s="1"/>
      <c r="G158" s="2"/>
      <c r="H158" s="2"/>
    </row>
    <row r="159">
      <c r="F159" s="1"/>
      <c r="G159" s="2"/>
      <c r="H159" s="2"/>
    </row>
    <row r="160">
      <c r="F160" s="1"/>
      <c r="G160" s="2"/>
      <c r="H160" s="2"/>
    </row>
    <row r="161">
      <c r="F161" s="1"/>
      <c r="G161" s="2"/>
      <c r="H161" s="2"/>
    </row>
    <row r="162">
      <c r="F162" s="1"/>
      <c r="G162" s="2"/>
      <c r="H162" s="2"/>
    </row>
    <row r="163">
      <c r="F163" s="1"/>
      <c r="G163" s="2"/>
      <c r="H163" s="2"/>
    </row>
    <row r="164">
      <c r="F164" s="1"/>
      <c r="G164" s="2"/>
      <c r="H164" s="2"/>
    </row>
    <row r="165">
      <c r="F165" s="1"/>
      <c r="G165" s="2"/>
      <c r="H165" s="2"/>
    </row>
    <row r="166">
      <c r="F166" s="1"/>
      <c r="G166" s="2"/>
      <c r="H166" s="2"/>
    </row>
    <row r="167">
      <c r="F167" s="1"/>
      <c r="G167" s="2"/>
      <c r="H167" s="2"/>
    </row>
    <row r="168">
      <c r="F168" s="1"/>
      <c r="G168" s="2"/>
      <c r="H168" s="2"/>
    </row>
    <row r="169">
      <c r="F169" s="1"/>
      <c r="G169" s="2"/>
      <c r="H169" s="2"/>
    </row>
    <row r="170">
      <c r="F170" s="1"/>
      <c r="G170" s="2"/>
      <c r="H170" s="2"/>
    </row>
    <row r="171">
      <c r="F171" s="1"/>
      <c r="G171" s="2"/>
      <c r="H171" s="2"/>
    </row>
    <row r="172">
      <c r="F172" s="1"/>
      <c r="G172" s="2"/>
      <c r="H172" s="2"/>
    </row>
    <row r="173">
      <c r="F173" s="1"/>
      <c r="G173" s="2"/>
      <c r="H173" s="2"/>
    </row>
    <row r="174">
      <c r="F174" s="1"/>
      <c r="G174" s="2"/>
      <c r="H174" s="2"/>
    </row>
    <row r="175">
      <c r="F175" s="1"/>
      <c r="G175" s="2"/>
      <c r="H175" s="2"/>
    </row>
    <row r="176">
      <c r="F176" s="1"/>
      <c r="G176" s="2"/>
      <c r="H176" s="2"/>
    </row>
    <row r="177">
      <c r="F177" s="1"/>
      <c r="G177" s="2"/>
      <c r="H177" s="2"/>
    </row>
    <row r="178">
      <c r="F178" s="1"/>
      <c r="G178" s="2"/>
      <c r="H178" s="2"/>
    </row>
    <row r="179">
      <c r="F179" s="1"/>
      <c r="G179" s="2"/>
      <c r="H179" s="2"/>
    </row>
    <row r="180">
      <c r="F180" s="1"/>
      <c r="G180" s="2"/>
      <c r="H180" s="2"/>
    </row>
    <row r="181">
      <c r="F181" s="1"/>
      <c r="G181" s="2"/>
      <c r="H181" s="2"/>
    </row>
    <row r="182">
      <c r="F182" s="1"/>
      <c r="G182" s="2"/>
      <c r="H182" s="2"/>
    </row>
    <row r="183">
      <c r="F183" s="1"/>
      <c r="G183" s="2"/>
      <c r="H183" s="2"/>
    </row>
    <row r="184">
      <c r="F184" s="1"/>
      <c r="G184" s="2"/>
      <c r="H184" s="2"/>
    </row>
    <row r="185">
      <c r="F185" s="1"/>
      <c r="G185" s="2"/>
      <c r="H185" s="2"/>
    </row>
    <row r="186">
      <c r="F186" s="1"/>
      <c r="G186" s="2"/>
      <c r="H186" s="2"/>
    </row>
    <row r="187">
      <c r="F187" s="1"/>
      <c r="G187" s="2"/>
      <c r="H187" s="2"/>
    </row>
    <row r="188">
      <c r="F188" s="1"/>
      <c r="G188" s="2"/>
      <c r="H188" s="2"/>
    </row>
    <row r="189">
      <c r="F189" s="1"/>
      <c r="G189" s="2"/>
      <c r="H189" s="2"/>
    </row>
    <row r="190">
      <c r="F190" s="1"/>
      <c r="G190" s="2"/>
      <c r="H190" s="2"/>
    </row>
    <row r="191">
      <c r="F191" s="1"/>
      <c r="G191" s="2"/>
      <c r="H191" s="2"/>
    </row>
    <row r="192">
      <c r="F192" s="1"/>
      <c r="G192" s="2"/>
      <c r="H192" s="2"/>
    </row>
    <row r="193">
      <c r="F193" s="1"/>
      <c r="G193" s="2"/>
      <c r="H193" s="2"/>
    </row>
    <row r="194">
      <c r="F194" s="1"/>
      <c r="G194" s="2"/>
      <c r="H194" s="2"/>
    </row>
    <row r="195">
      <c r="F195" s="1"/>
      <c r="G195" s="2"/>
      <c r="H195" s="2"/>
    </row>
    <row r="196">
      <c r="F196" s="1"/>
      <c r="G196" s="2"/>
      <c r="H196" s="2"/>
    </row>
    <row r="197">
      <c r="F197" s="1"/>
      <c r="G197" s="2"/>
      <c r="H197" s="2"/>
    </row>
    <row r="198">
      <c r="F198" s="1"/>
      <c r="G198" s="2"/>
      <c r="H198" s="2"/>
    </row>
    <row r="199">
      <c r="F199" s="1"/>
      <c r="G199" s="2"/>
      <c r="H199" s="2"/>
    </row>
    <row r="200">
      <c r="F200" s="1"/>
      <c r="G200" s="2"/>
      <c r="H200" s="2"/>
    </row>
    <row r="201">
      <c r="F201" s="1"/>
      <c r="G201" s="2"/>
      <c r="H201" s="2"/>
    </row>
    <row r="202">
      <c r="F202" s="1"/>
      <c r="G202" s="2"/>
      <c r="H202" s="2"/>
    </row>
    <row r="203">
      <c r="F203" s="1"/>
      <c r="G203" s="2"/>
      <c r="H203" s="2"/>
    </row>
    <row r="204">
      <c r="F204" s="1"/>
      <c r="G204" s="2"/>
      <c r="H204" s="2"/>
    </row>
    <row r="205">
      <c r="F205" s="1"/>
      <c r="G205" s="2"/>
      <c r="H205" s="2"/>
    </row>
    <row r="206">
      <c r="F206" s="1"/>
      <c r="G206" s="2"/>
      <c r="H206" s="2"/>
    </row>
    <row r="207">
      <c r="F207" s="1"/>
      <c r="G207" s="2"/>
      <c r="H207" s="2"/>
    </row>
    <row r="208">
      <c r="F208" s="1"/>
      <c r="G208" s="2"/>
      <c r="H208" s="2"/>
    </row>
    <row r="209">
      <c r="F209" s="1"/>
      <c r="G209" s="2"/>
      <c r="H209" s="2"/>
    </row>
    <row r="210">
      <c r="F210" s="1"/>
      <c r="G210" s="2"/>
      <c r="H210" s="2"/>
    </row>
    <row r="211">
      <c r="F211" s="1"/>
      <c r="G211" s="2"/>
      <c r="H211" s="2"/>
    </row>
    <row r="212">
      <c r="F212" s="1"/>
      <c r="G212" s="2"/>
      <c r="H212" s="2"/>
    </row>
    <row r="213">
      <c r="F213" s="1"/>
      <c r="G213" s="2"/>
      <c r="H213" s="2"/>
    </row>
    <row r="214">
      <c r="F214" s="1"/>
      <c r="G214" s="2"/>
      <c r="H214" s="2"/>
    </row>
    <row r="215">
      <c r="F215" s="1"/>
      <c r="G215" s="2"/>
      <c r="H215" s="2"/>
    </row>
    <row r="216">
      <c r="F216" s="1"/>
      <c r="G216" s="2"/>
      <c r="H216" s="2"/>
    </row>
    <row r="217">
      <c r="F217" s="1"/>
      <c r="G217" s="2"/>
      <c r="H217" s="2"/>
    </row>
    <row r="218">
      <c r="F218" s="1"/>
      <c r="G218" s="2"/>
      <c r="H218" s="2"/>
    </row>
    <row r="219">
      <c r="F219" s="1"/>
      <c r="G219" s="2"/>
      <c r="H219" s="2"/>
    </row>
    <row r="220">
      <c r="F220" s="1"/>
      <c r="G220" s="2"/>
      <c r="H220" s="2"/>
    </row>
    <row r="221">
      <c r="F221" s="1"/>
      <c r="G221" s="2"/>
      <c r="H221" s="2"/>
    </row>
    <row r="222">
      <c r="F222" s="1"/>
      <c r="G222" s="2"/>
      <c r="H222" s="2"/>
    </row>
    <row r="223">
      <c r="F223" s="1"/>
      <c r="G223" s="2"/>
      <c r="H223" s="2"/>
    </row>
    <row r="224">
      <c r="F224" s="1"/>
      <c r="G224" s="2"/>
      <c r="H224" s="2"/>
    </row>
    <row r="225">
      <c r="F225" s="1"/>
      <c r="G225" s="2"/>
      <c r="H225" s="2"/>
    </row>
    <row r="226">
      <c r="F226" s="1"/>
      <c r="G226" s="2"/>
      <c r="H226" s="2"/>
    </row>
    <row r="227">
      <c r="F227" s="1"/>
      <c r="G227" s="2"/>
      <c r="H227" s="2"/>
    </row>
    <row r="228">
      <c r="F228" s="1"/>
      <c r="G228" s="2"/>
      <c r="H228" s="2"/>
    </row>
    <row r="229">
      <c r="F229" s="1"/>
      <c r="G229" s="2"/>
      <c r="H229" s="2"/>
    </row>
    <row r="230">
      <c r="F230" s="1"/>
      <c r="G230" s="2"/>
      <c r="H230" s="2"/>
    </row>
    <row r="231">
      <c r="F231" s="1"/>
      <c r="G231" s="2"/>
      <c r="H231" s="2"/>
    </row>
    <row r="232">
      <c r="F232" s="1"/>
      <c r="G232" s="2"/>
      <c r="H232" s="2"/>
    </row>
    <row r="233">
      <c r="F233" s="1"/>
      <c r="G233" s="2"/>
      <c r="H233" s="2"/>
    </row>
    <row r="234">
      <c r="F234" s="1"/>
      <c r="G234" s="2"/>
      <c r="H234" s="2"/>
    </row>
    <row r="235">
      <c r="F235" s="1"/>
      <c r="G235" s="2"/>
      <c r="H235" s="2"/>
    </row>
    <row r="236">
      <c r="F236" s="1"/>
      <c r="G236" s="2"/>
      <c r="H236" s="2"/>
    </row>
    <row r="237">
      <c r="F237" s="1"/>
      <c r="G237" s="2"/>
      <c r="H237" s="2"/>
    </row>
    <row r="238">
      <c r="F238" s="1"/>
      <c r="G238" s="2"/>
      <c r="H238" s="2"/>
    </row>
    <row r="239">
      <c r="F239" s="1"/>
      <c r="G239" s="2"/>
      <c r="H239" s="2"/>
    </row>
    <row r="240">
      <c r="F240" s="1"/>
      <c r="G240" s="2"/>
      <c r="H240" s="2"/>
    </row>
    <row r="241">
      <c r="F241" s="1"/>
      <c r="G241" s="2"/>
      <c r="H241" s="2"/>
    </row>
    <row r="242">
      <c r="F242" s="1"/>
      <c r="G242" s="2"/>
      <c r="H242" s="2"/>
    </row>
    <row r="243">
      <c r="F243" s="1"/>
      <c r="G243" s="2"/>
      <c r="H243" s="2"/>
    </row>
    <row r="244">
      <c r="F244" s="1"/>
      <c r="G244" s="2"/>
      <c r="H244" s="2"/>
    </row>
    <row r="245">
      <c r="F245" s="1"/>
      <c r="G245" s="2"/>
      <c r="H245" s="2"/>
    </row>
    <row r="246">
      <c r="F246" s="1"/>
      <c r="G246" s="2"/>
      <c r="H246" s="2"/>
    </row>
    <row r="247">
      <c r="F247" s="1"/>
      <c r="G247" s="2"/>
      <c r="H247" s="2"/>
    </row>
    <row r="248">
      <c r="F248" s="1"/>
      <c r="G248" s="2"/>
      <c r="H248" s="2"/>
    </row>
    <row r="249">
      <c r="F249" s="1"/>
      <c r="G249" s="2"/>
      <c r="H249" s="2"/>
    </row>
    <row r="250">
      <c r="F250" s="1"/>
      <c r="G250" s="2"/>
      <c r="H250" s="2"/>
    </row>
    <row r="251">
      <c r="F251" s="1"/>
      <c r="G251" s="2"/>
      <c r="H251" s="2"/>
    </row>
    <row r="252">
      <c r="F252" s="1"/>
      <c r="G252" s="2"/>
      <c r="H252" s="2"/>
    </row>
    <row r="253">
      <c r="F253" s="1"/>
      <c r="G253" s="2"/>
      <c r="H253" s="2"/>
    </row>
    <row r="254">
      <c r="F254" s="1"/>
      <c r="G254" s="2"/>
      <c r="H254" s="2"/>
    </row>
    <row r="255">
      <c r="F255" s="1"/>
      <c r="G255" s="2"/>
      <c r="H255" s="2"/>
    </row>
    <row r="256">
      <c r="F256" s="1"/>
      <c r="G256" s="2"/>
      <c r="H256" s="2"/>
    </row>
    <row r="257">
      <c r="F257" s="1"/>
      <c r="G257" s="2"/>
      <c r="H257" s="2"/>
    </row>
    <row r="258">
      <c r="F258" s="1"/>
      <c r="G258" s="2"/>
      <c r="H258" s="2"/>
    </row>
    <row r="259">
      <c r="F259" s="1"/>
      <c r="G259" s="2"/>
      <c r="H259" s="2"/>
    </row>
    <row r="260">
      <c r="F260" s="1"/>
      <c r="G260" s="2"/>
      <c r="H260" s="2"/>
    </row>
    <row r="261">
      <c r="F261" s="1"/>
      <c r="G261" s="2"/>
      <c r="H261" s="2"/>
    </row>
    <row r="262">
      <c r="F262" s="1"/>
      <c r="G262" s="2"/>
      <c r="H262" s="2"/>
    </row>
    <row r="263">
      <c r="F263" s="1"/>
      <c r="G263" s="2"/>
      <c r="H263" s="2"/>
    </row>
    <row r="264">
      <c r="F264" s="1"/>
      <c r="G264" s="2"/>
      <c r="H264" s="2"/>
    </row>
    <row r="265">
      <c r="F265" s="1"/>
      <c r="G265" s="2"/>
      <c r="H265" s="2"/>
    </row>
    <row r="266">
      <c r="F266" s="1"/>
      <c r="G266" s="2"/>
      <c r="H266" s="2"/>
    </row>
    <row r="267">
      <c r="F267" s="1"/>
      <c r="G267" s="2"/>
      <c r="H267" s="2"/>
    </row>
    <row r="268">
      <c r="F268" s="1"/>
      <c r="G268" s="2"/>
      <c r="H268" s="2"/>
    </row>
    <row r="269">
      <c r="F269" s="1"/>
      <c r="G269" s="2"/>
      <c r="H269" s="2"/>
    </row>
    <row r="270">
      <c r="F270" s="1"/>
      <c r="G270" s="2"/>
      <c r="H270" s="2"/>
    </row>
    <row r="271">
      <c r="F271" s="1"/>
      <c r="G271" s="2"/>
      <c r="H271" s="2"/>
    </row>
    <row r="272">
      <c r="F272" s="1"/>
      <c r="G272" s="2"/>
      <c r="H272" s="2"/>
    </row>
    <row r="273">
      <c r="F273" s="1"/>
      <c r="G273" s="2"/>
      <c r="H273" s="2"/>
    </row>
    <row r="274">
      <c r="F274" s="1"/>
      <c r="G274" s="2"/>
      <c r="H274" s="2"/>
    </row>
    <row r="275">
      <c r="F275" s="1"/>
      <c r="G275" s="2"/>
      <c r="H275" s="2"/>
    </row>
    <row r="276">
      <c r="F276" s="1"/>
      <c r="G276" s="2"/>
      <c r="H276" s="2"/>
    </row>
    <row r="277">
      <c r="F277" s="1"/>
      <c r="G277" s="2"/>
      <c r="H277" s="2"/>
    </row>
    <row r="278">
      <c r="F278" s="1"/>
      <c r="G278" s="2"/>
      <c r="H278" s="2"/>
    </row>
    <row r="279">
      <c r="F279" s="1"/>
      <c r="G279" s="2"/>
      <c r="H279" s="2"/>
    </row>
    <row r="280">
      <c r="F280" s="1"/>
      <c r="G280" s="2"/>
      <c r="H280" s="2"/>
    </row>
    <row r="281">
      <c r="F281" s="1"/>
      <c r="G281" s="2"/>
      <c r="H281" s="2"/>
    </row>
    <row r="282">
      <c r="F282" s="1"/>
      <c r="G282" s="2"/>
      <c r="H282" s="2"/>
    </row>
    <row r="283">
      <c r="F283" s="1"/>
      <c r="G283" s="2"/>
      <c r="H283" s="2"/>
    </row>
    <row r="284">
      <c r="F284" s="1"/>
      <c r="G284" s="2"/>
      <c r="H284" s="2"/>
    </row>
    <row r="285">
      <c r="F285" s="1"/>
      <c r="G285" s="2"/>
      <c r="H285" s="2"/>
    </row>
    <row r="286">
      <c r="F286" s="1"/>
      <c r="G286" s="2"/>
      <c r="H286" s="2"/>
    </row>
    <row r="287">
      <c r="F287" s="1"/>
      <c r="G287" s="2"/>
      <c r="H287" s="2"/>
    </row>
    <row r="288">
      <c r="F288" s="1"/>
      <c r="G288" s="2"/>
      <c r="H288" s="2"/>
    </row>
    <row r="289">
      <c r="F289" s="1"/>
      <c r="G289" s="2"/>
      <c r="H289" s="2"/>
    </row>
    <row r="290">
      <c r="F290" s="1"/>
      <c r="G290" s="2"/>
      <c r="H290" s="2"/>
    </row>
    <row r="291">
      <c r="F291" s="1"/>
      <c r="G291" s="2"/>
      <c r="H291" s="2"/>
    </row>
    <row r="292">
      <c r="F292" s="1"/>
      <c r="G292" s="2"/>
      <c r="H292" s="2"/>
    </row>
    <row r="293">
      <c r="F293" s="1"/>
      <c r="G293" s="2"/>
      <c r="H293" s="2"/>
    </row>
    <row r="294">
      <c r="F294" s="1"/>
      <c r="G294" s="2"/>
      <c r="H294" s="2"/>
    </row>
    <row r="295">
      <c r="F295" s="1"/>
      <c r="G295" s="2"/>
      <c r="H295" s="2"/>
    </row>
    <row r="296">
      <c r="F296" s="1"/>
      <c r="G296" s="2"/>
      <c r="H296" s="2"/>
    </row>
    <row r="297">
      <c r="F297" s="1"/>
      <c r="G297" s="2"/>
      <c r="H297" s="2"/>
    </row>
    <row r="298">
      <c r="F298" s="1"/>
      <c r="G298" s="2"/>
      <c r="H298" s="2"/>
    </row>
    <row r="299">
      <c r="F299" s="1"/>
      <c r="G299" s="2"/>
      <c r="H299" s="2"/>
    </row>
    <row r="300">
      <c r="F300" s="1"/>
      <c r="G300" s="2"/>
      <c r="H300" s="2"/>
    </row>
    <row r="301">
      <c r="F301" s="1"/>
      <c r="G301" s="2"/>
      <c r="H301" s="2"/>
    </row>
    <row r="302">
      <c r="F302" s="1"/>
      <c r="G302" s="2"/>
      <c r="H302" s="2"/>
    </row>
    <row r="303">
      <c r="F303" s="1"/>
      <c r="G303" s="2"/>
      <c r="H303" s="2"/>
    </row>
    <row r="304">
      <c r="F304" s="1"/>
      <c r="G304" s="2"/>
      <c r="H304" s="2"/>
    </row>
    <row r="305">
      <c r="F305" s="1"/>
      <c r="G305" s="2"/>
      <c r="H305" s="2"/>
    </row>
    <row r="306">
      <c r="F306" s="1"/>
      <c r="G306" s="2"/>
      <c r="H306" s="2"/>
    </row>
    <row r="307">
      <c r="F307" s="1"/>
      <c r="G307" s="2"/>
      <c r="H307" s="2"/>
    </row>
    <row r="308">
      <c r="F308" s="1"/>
      <c r="G308" s="2"/>
      <c r="H308" s="2"/>
    </row>
    <row r="309">
      <c r="F309" s="1"/>
      <c r="G309" s="2"/>
      <c r="H309" s="2"/>
    </row>
    <row r="310">
      <c r="F310" s="1"/>
      <c r="G310" s="2"/>
      <c r="H310" s="2"/>
    </row>
    <row r="311">
      <c r="F311" s="1"/>
      <c r="G311" s="2"/>
      <c r="H311" s="2"/>
    </row>
    <row r="312">
      <c r="F312" s="1"/>
      <c r="G312" s="2"/>
      <c r="H312" s="2"/>
    </row>
    <row r="313">
      <c r="F313" s="1"/>
      <c r="G313" s="2"/>
      <c r="H313" s="2"/>
    </row>
    <row r="314">
      <c r="F314" s="1"/>
      <c r="G314" s="2"/>
      <c r="H314" s="2"/>
    </row>
    <row r="315">
      <c r="F315" s="1"/>
      <c r="G315" s="2"/>
      <c r="H315" s="2"/>
    </row>
    <row r="316">
      <c r="F316" s="1"/>
      <c r="G316" s="2"/>
      <c r="H316" s="2"/>
    </row>
    <row r="317">
      <c r="F317" s="1"/>
      <c r="G317" s="2"/>
      <c r="H317" s="2"/>
    </row>
    <row r="318">
      <c r="F318" s="1"/>
      <c r="G318" s="2"/>
      <c r="H318" s="2"/>
    </row>
    <row r="319">
      <c r="F319" s="1"/>
      <c r="G319" s="2"/>
      <c r="H319" s="2"/>
    </row>
    <row r="320">
      <c r="F320" s="1"/>
      <c r="G320" s="2"/>
      <c r="H320" s="2"/>
    </row>
    <row r="321">
      <c r="F321" s="1"/>
      <c r="G321" s="2"/>
      <c r="H321" s="2"/>
    </row>
    <row r="322">
      <c r="F322" s="1"/>
      <c r="G322" s="2"/>
      <c r="H322" s="2"/>
    </row>
    <row r="323">
      <c r="F323" s="1"/>
      <c r="G323" s="2"/>
      <c r="H323" s="2"/>
    </row>
    <row r="324">
      <c r="F324" s="1"/>
      <c r="G324" s="2"/>
      <c r="H324" s="2"/>
    </row>
    <row r="325">
      <c r="F325" s="1"/>
      <c r="G325" s="2"/>
      <c r="H325" s="2"/>
    </row>
    <row r="326">
      <c r="F326" s="1"/>
      <c r="G326" s="2"/>
      <c r="H326" s="2"/>
    </row>
    <row r="327">
      <c r="F327" s="1"/>
      <c r="G327" s="2"/>
      <c r="H327" s="2"/>
    </row>
    <row r="328">
      <c r="F328" s="1"/>
      <c r="G328" s="2"/>
      <c r="H328" s="2"/>
    </row>
    <row r="329">
      <c r="F329" s="1"/>
      <c r="G329" s="2"/>
      <c r="H329" s="2"/>
    </row>
    <row r="330">
      <c r="F330" s="1"/>
      <c r="G330" s="2"/>
      <c r="H330" s="2"/>
    </row>
    <row r="331">
      <c r="F331" s="1"/>
      <c r="G331" s="2"/>
      <c r="H331" s="2"/>
    </row>
    <row r="332">
      <c r="F332" s="1"/>
      <c r="G332" s="2"/>
      <c r="H332" s="2"/>
    </row>
    <row r="333">
      <c r="F333" s="1"/>
      <c r="G333" s="2"/>
      <c r="H333" s="2"/>
    </row>
    <row r="334">
      <c r="F334" s="1"/>
      <c r="G334" s="2"/>
      <c r="H334" s="2"/>
    </row>
    <row r="335">
      <c r="F335" s="1"/>
      <c r="G335" s="2"/>
      <c r="H335" s="2"/>
    </row>
    <row r="336">
      <c r="F336" s="1"/>
      <c r="G336" s="2"/>
      <c r="H336" s="2"/>
    </row>
    <row r="337">
      <c r="F337" s="1"/>
      <c r="G337" s="2"/>
      <c r="H337" s="2"/>
    </row>
    <row r="338">
      <c r="F338" s="1"/>
      <c r="G338" s="2"/>
      <c r="H338" s="2"/>
    </row>
    <row r="339">
      <c r="F339" s="1"/>
      <c r="G339" s="2"/>
      <c r="H339" s="2"/>
    </row>
    <row r="340">
      <c r="F340" s="1"/>
      <c r="G340" s="2"/>
      <c r="H340" s="2"/>
    </row>
    <row r="341">
      <c r="F341" s="1"/>
      <c r="G341" s="2"/>
      <c r="H341" s="2"/>
    </row>
    <row r="342">
      <c r="F342" s="1"/>
      <c r="G342" s="2"/>
      <c r="H342" s="2"/>
    </row>
    <row r="343">
      <c r="F343" s="1"/>
      <c r="G343" s="2"/>
      <c r="H343" s="2"/>
    </row>
    <row r="344">
      <c r="F344" s="1"/>
      <c r="G344" s="2"/>
      <c r="H344" s="2"/>
    </row>
    <row r="345">
      <c r="F345" s="1"/>
      <c r="G345" s="2"/>
      <c r="H345" s="2"/>
    </row>
    <row r="346">
      <c r="F346" s="1"/>
      <c r="G346" s="2"/>
      <c r="H346" s="2"/>
    </row>
    <row r="347">
      <c r="F347" s="1"/>
      <c r="G347" s="2"/>
      <c r="H347" s="2"/>
    </row>
    <row r="348">
      <c r="F348" s="1"/>
      <c r="G348" s="2"/>
      <c r="H348" s="2"/>
    </row>
    <row r="349">
      <c r="F349" s="1"/>
      <c r="G349" s="2"/>
      <c r="H349" s="2"/>
    </row>
    <row r="350">
      <c r="F350" s="1"/>
      <c r="G350" s="2"/>
      <c r="H350" s="2"/>
    </row>
    <row r="351">
      <c r="F351" s="1"/>
      <c r="G351" s="2"/>
      <c r="H351" s="2"/>
    </row>
    <row r="352">
      <c r="F352" s="1"/>
      <c r="G352" s="2"/>
      <c r="H352" s="2"/>
    </row>
    <row r="353">
      <c r="F353" s="1"/>
      <c r="G353" s="2"/>
      <c r="H353" s="2"/>
    </row>
    <row r="354">
      <c r="F354" s="1"/>
      <c r="G354" s="2"/>
      <c r="H354" s="2"/>
    </row>
    <row r="355">
      <c r="F355" s="1"/>
      <c r="G355" s="2"/>
      <c r="H355" s="2"/>
    </row>
    <row r="356">
      <c r="F356" s="1"/>
      <c r="G356" s="2"/>
      <c r="H356" s="2"/>
    </row>
    <row r="357">
      <c r="F357" s="1"/>
      <c r="G357" s="2"/>
      <c r="H357" s="2"/>
    </row>
    <row r="358">
      <c r="F358" s="1"/>
      <c r="G358" s="2"/>
      <c r="H358" s="2"/>
    </row>
    <row r="359">
      <c r="F359" s="1"/>
      <c r="G359" s="2"/>
      <c r="H359" s="2"/>
    </row>
    <row r="360">
      <c r="F360" s="1"/>
      <c r="G360" s="2"/>
      <c r="H360" s="2"/>
    </row>
    <row r="361">
      <c r="F361" s="1"/>
      <c r="G361" s="2"/>
      <c r="H361" s="2"/>
    </row>
    <row r="362">
      <c r="F362" s="1"/>
      <c r="G362" s="2"/>
      <c r="H362" s="2"/>
    </row>
    <row r="363">
      <c r="F363" s="1"/>
      <c r="G363" s="2"/>
      <c r="H363" s="2"/>
    </row>
    <row r="364">
      <c r="F364" s="1"/>
      <c r="G364" s="2"/>
      <c r="H364" s="2"/>
    </row>
    <row r="365">
      <c r="F365" s="1"/>
      <c r="G365" s="2"/>
      <c r="H365" s="2"/>
    </row>
    <row r="366">
      <c r="F366" s="1"/>
      <c r="G366" s="2"/>
      <c r="H366" s="2"/>
    </row>
    <row r="367">
      <c r="F367" s="1"/>
      <c r="G367" s="2"/>
      <c r="H367" s="2"/>
    </row>
    <row r="368">
      <c r="F368" s="1"/>
      <c r="G368" s="2"/>
      <c r="H368" s="2"/>
    </row>
    <row r="369">
      <c r="F369" s="1"/>
      <c r="G369" s="2"/>
      <c r="H369" s="2"/>
    </row>
    <row r="370">
      <c r="F370" s="1"/>
      <c r="G370" s="2"/>
      <c r="H370" s="2"/>
    </row>
    <row r="371">
      <c r="F371" s="1"/>
      <c r="G371" s="2"/>
      <c r="H371" s="2"/>
    </row>
    <row r="372">
      <c r="F372" s="1"/>
      <c r="G372" s="2"/>
      <c r="H372" s="2"/>
    </row>
    <row r="373">
      <c r="F373" s="1"/>
      <c r="G373" s="2"/>
      <c r="H373" s="2"/>
    </row>
    <row r="374">
      <c r="F374" s="1"/>
      <c r="G374" s="2"/>
      <c r="H374" s="2"/>
    </row>
    <row r="375">
      <c r="F375" s="1"/>
      <c r="G375" s="2"/>
      <c r="H375" s="2"/>
    </row>
    <row r="376">
      <c r="F376" s="1"/>
      <c r="G376" s="2"/>
      <c r="H376" s="2"/>
    </row>
    <row r="377">
      <c r="F377" s="1"/>
      <c r="G377" s="2"/>
      <c r="H377" s="2"/>
    </row>
    <row r="378">
      <c r="F378" s="1"/>
      <c r="G378" s="2"/>
      <c r="H378" s="2"/>
    </row>
    <row r="379">
      <c r="F379" s="1"/>
      <c r="G379" s="2"/>
      <c r="H379" s="2"/>
    </row>
    <row r="380">
      <c r="F380" s="1"/>
      <c r="G380" s="2"/>
      <c r="H380" s="2"/>
    </row>
    <row r="381">
      <c r="F381" s="1"/>
      <c r="G381" s="2"/>
      <c r="H381" s="2"/>
    </row>
    <row r="382">
      <c r="F382" s="1"/>
      <c r="G382" s="2"/>
      <c r="H382" s="2"/>
    </row>
    <row r="383">
      <c r="F383" s="1"/>
      <c r="G383" s="2"/>
      <c r="H383" s="2"/>
    </row>
    <row r="384">
      <c r="F384" s="1"/>
      <c r="G384" s="2"/>
      <c r="H384" s="2"/>
    </row>
    <row r="385">
      <c r="F385" s="1"/>
      <c r="G385" s="2"/>
      <c r="H385" s="2"/>
    </row>
    <row r="386">
      <c r="F386" s="1"/>
      <c r="G386" s="2"/>
      <c r="H386" s="2"/>
    </row>
    <row r="387">
      <c r="F387" s="1"/>
      <c r="G387" s="2"/>
      <c r="H387" s="2"/>
    </row>
    <row r="388">
      <c r="F388" s="1"/>
      <c r="G388" s="2"/>
      <c r="H388" s="2"/>
    </row>
    <row r="389">
      <c r="F389" s="1"/>
      <c r="G389" s="2"/>
      <c r="H389" s="2"/>
    </row>
    <row r="390">
      <c r="F390" s="1"/>
      <c r="G390" s="2"/>
      <c r="H390" s="2"/>
    </row>
    <row r="391">
      <c r="F391" s="1"/>
      <c r="G391" s="2"/>
      <c r="H391" s="2"/>
    </row>
    <row r="392">
      <c r="F392" s="1"/>
      <c r="G392" s="2"/>
      <c r="H392" s="2"/>
    </row>
    <row r="393">
      <c r="F393" s="1"/>
      <c r="G393" s="2"/>
      <c r="H393" s="2"/>
    </row>
    <row r="394">
      <c r="F394" s="1"/>
      <c r="G394" s="2"/>
      <c r="H394" s="2"/>
    </row>
    <row r="395">
      <c r="F395" s="1"/>
      <c r="G395" s="2"/>
      <c r="H395" s="2"/>
    </row>
    <row r="396">
      <c r="F396" s="1"/>
      <c r="G396" s="2"/>
      <c r="H396" s="2"/>
    </row>
    <row r="397">
      <c r="F397" s="1"/>
      <c r="G397" s="2"/>
      <c r="H397" s="2"/>
    </row>
    <row r="398">
      <c r="F398" s="1"/>
      <c r="G398" s="2"/>
      <c r="H398" s="2"/>
    </row>
    <row r="399">
      <c r="F399" s="1"/>
      <c r="G399" s="2"/>
      <c r="H399" s="2"/>
    </row>
    <row r="400">
      <c r="F400" s="1"/>
      <c r="G400" s="2"/>
      <c r="H400" s="2"/>
    </row>
    <row r="401">
      <c r="F401" s="1"/>
      <c r="G401" s="2"/>
      <c r="H401" s="2"/>
    </row>
    <row r="402">
      <c r="F402" s="1"/>
      <c r="G402" s="2"/>
      <c r="H402" s="2"/>
    </row>
    <row r="403">
      <c r="F403" s="1"/>
      <c r="G403" s="2"/>
      <c r="H403" s="2"/>
    </row>
    <row r="404">
      <c r="F404" s="1"/>
      <c r="G404" s="2"/>
      <c r="H404" s="2"/>
    </row>
    <row r="405">
      <c r="F405" s="1"/>
      <c r="G405" s="2"/>
      <c r="H405" s="2"/>
    </row>
    <row r="406">
      <c r="F406" s="1"/>
      <c r="G406" s="2"/>
      <c r="H406" s="2"/>
    </row>
    <row r="407">
      <c r="F407" s="1"/>
      <c r="G407" s="2"/>
      <c r="H407" s="2"/>
    </row>
    <row r="408">
      <c r="F408" s="1"/>
      <c r="G408" s="2"/>
      <c r="H408" s="2"/>
    </row>
    <row r="409">
      <c r="F409" s="1"/>
      <c r="G409" s="2"/>
      <c r="H409" s="2"/>
    </row>
    <row r="410">
      <c r="F410" s="1"/>
      <c r="G410" s="2"/>
      <c r="H410" s="2"/>
    </row>
    <row r="411">
      <c r="F411" s="1"/>
      <c r="G411" s="2"/>
      <c r="H411" s="2"/>
    </row>
    <row r="412">
      <c r="F412" s="1"/>
      <c r="G412" s="2"/>
      <c r="H412" s="2"/>
    </row>
    <row r="413">
      <c r="F413" s="1"/>
      <c r="G413" s="2"/>
      <c r="H413" s="2"/>
    </row>
    <row r="414">
      <c r="F414" s="1"/>
      <c r="G414" s="2"/>
      <c r="H414" s="2"/>
    </row>
    <row r="415">
      <c r="F415" s="1"/>
      <c r="G415" s="2"/>
      <c r="H415" s="2"/>
    </row>
    <row r="416">
      <c r="F416" s="1"/>
      <c r="G416" s="2"/>
      <c r="H416" s="2"/>
    </row>
    <row r="417">
      <c r="F417" s="1"/>
      <c r="G417" s="2"/>
      <c r="H417" s="2"/>
    </row>
    <row r="418">
      <c r="F418" s="1"/>
      <c r="G418" s="2"/>
      <c r="H418" s="2"/>
    </row>
    <row r="419">
      <c r="F419" s="1"/>
      <c r="G419" s="2"/>
      <c r="H419" s="2"/>
    </row>
    <row r="420">
      <c r="F420" s="1"/>
      <c r="G420" s="2"/>
      <c r="H420" s="2"/>
    </row>
    <row r="421">
      <c r="F421" s="1"/>
      <c r="G421" s="2"/>
      <c r="H421" s="2"/>
    </row>
    <row r="422">
      <c r="F422" s="1"/>
      <c r="G422" s="2"/>
      <c r="H422" s="2"/>
    </row>
    <row r="423">
      <c r="F423" s="1"/>
      <c r="G423" s="2"/>
      <c r="H423" s="2"/>
    </row>
    <row r="424">
      <c r="F424" s="1"/>
      <c r="G424" s="2"/>
      <c r="H424" s="2"/>
    </row>
    <row r="425">
      <c r="F425" s="1"/>
      <c r="G425" s="2"/>
      <c r="H425" s="2"/>
    </row>
    <row r="426">
      <c r="F426" s="1"/>
      <c r="G426" s="2"/>
      <c r="H426" s="2"/>
    </row>
    <row r="427">
      <c r="F427" s="1"/>
      <c r="G427" s="2"/>
      <c r="H427" s="2"/>
    </row>
    <row r="428">
      <c r="F428" s="1"/>
      <c r="G428" s="2"/>
      <c r="H428" s="2"/>
    </row>
    <row r="429">
      <c r="F429" s="1"/>
      <c r="G429" s="2"/>
      <c r="H429" s="2"/>
    </row>
    <row r="430">
      <c r="F430" s="1"/>
      <c r="G430" s="2"/>
      <c r="H430" s="2"/>
    </row>
    <row r="431">
      <c r="F431" s="1"/>
      <c r="G431" s="2"/>
      <c r="H431" s="2"/>
    </row>
    <row r="432">
      <c r="F432" s="1"/>
      <c r="G432" s="2"/>
      <c r="H432" s="2"/>
    </row>
    <row r="433">
      <c r="F433" s="1"/>
      <c r="G433" s="2"/>
      <c r="H433" s="2"/>
    </row>
    <row r="434">
      <c r="F434" s="1"/>
      <c r="G434" s="2"/>
      <c r="H434" s="2"/>
    </row>
    <row r="435">
      <c r="F435" s="1"/>
      <c r="G435" s="2"/>
      <c r="H435" s="2"/>
    </row>
    <row r="436">
      <c r="F436" s="1"/>
      <c r="G436" s="2"/>
      <c r="H436" s="2"/>
    </row>
    <row r="437">
      <c r="F437" s="1"/>
      <c r="G437" s="2"/>
      <c r="H437" s="2"/>
    </row>
    <row r="438">
      <c r="F438" s="1"/>
      <c r="G438" s="2"/>
      <c r="H438" s="2"/>
    </row>
    <row r="439">
      <c r="F439" s="1"/>
      <c r="G439" s="2"/>
      <c r="H439" s="2"/>
    </row>
    <row r="440">
      <c r="F440" s="1"/>
      <c r="G440" s="2"/>
      <c r="H440" s="2"/>
    </row>
    <row r="441">
      <c r="F441" s="1"/>
      <c r="G441" s="2"/>
      <c r="H441" s="2"/>
    </row>
    <row r="442">
      <c r="F442" s="1"/>
      <c r="G442" s="2"/>
      <c r="H442" s="2"/>
    </row>
    <row r="443">
      <c r="F443" s="1"/>
      <c r="G443" s="2"/>
      <c r="H443" s="2"/>
    </row>
    <row r="444">
      <c r="F444" s="1"/>
      <c r="G444" s="2"/>
      <c r="H444" s="2"/>
    </row>
    <row r="445">
      <c r="F445" s="1"/>
      <c r="G445" s="2"/>
      <c r="H445" s="2"/>
    </row>
    <row r="446">
      <c r="F446" s="1"/>
      <c r="G446" s="2"/>
      <c r="H446" s="2"/>
    </row>
    <row r="447">
      <c r="F447" s="1"/>
      <c r="G447" s="2"/>
      <c r="H447" s="2"/>
    </row>
    <row r="448">
      <c r="F448" s="1"/>
      <c r="G448" s="2"/>
      <c r="H448" s="2"/>
    </row>
    <row r="449">
      <c r="F449" s="1"/>
      <c r="G449" s="2"/>
      <c r="H449" s="2"/>
    </row>
    <row r="450">
      <c r="F450" s="1"/>
      <c r="G450" s="2"/>
      <c r="H450" s="2"/>
    </row>
    <row r="451">
      <c r="F451" s="1"/>
      <c r="G451" s="2"/>
      <c r="H451" s="2"/>
    </row>
    <row r="452">
      <c r="F452" s="1"/>
      <c r="G452" s="2"/>
      <c r="H452" s="2"/>
    </row>
    <row r="453">
      <c r="F453" s="1"/>
      <c r="G453" s="2"/>
      <c r="H453" s="2"/>
    </row>
    <row r="454">
      <c r="F454" s="1"/>
      <c r="G454" s="2"/>
      <c r="H454" s="2"/>
    </row>
    <row r="455">
      <c r="F455" s="1"/>
      <c r="G455" s="2"/>
      <c r="H455" s="2"/>
    </row>
    <row r="456">
      <c r="F456" s="1"/>
      <c r="G456" s="2"/>
      <c r="H456" s="2"/>
    </row>
    <row r="457">
      <c r="F457" s="1"/>
      <c r="G457" s="2"/>
      <c r="H457" s="2"/>
    </row>
    <row r="458">
      <c r="F458" s="1"/>
      <c r="G458" s="2"/>
      <c r="H458" s="2"/>
    </row>
    <row r="459">
      <c r="F459" s="1"/>
      <c r="G459" s="2"/>
      <c r="H459" s="2"/>
    </row>
    <row r="460">
      <c r="F460" s="1"/>
      <c r="G460" s="2"/>
      <c r="H460" s="2"/>
    </row>
    <row r="461">
      <c r="F461" s="1"/>
      <c r="G461" s="2"/>
      <c r="H461" s="2"/>
    </row>
    <row r="462">
      <c r="F462" s="1"/>
      <c r="G462" s="2"/>
      <c r="H462" s="2"/>
    </row>
    <row r="463">
      <c r="F463" s="1"/>
      <c r="G463" s="2"/>
      <c r="H463" s="2"/>
    </row>
    <row r="464">
      <c r="F464" s="1"/>
      <c r="G464" s="2"/>
      <c r="H464" s="2"/>
    </row>
    <row r="465">
      <c r="F465" s="1"/>
      <c r="G465" s="2"/>
      <c r="H465" s="2"/>
    </row>
    <row r="466">
      <c r="F466" s="1"/>
      <c r="G466" s="2"/>
      <c r="H466" s="2"/>
    </row>
    <row r="467">
      <c r="F467" s="1"/>
      <c r="G467" s="2"/>
      <c r="H467" s="2"/>
    </row>
    <row r="468">
      <c r="F468" s="1"/>
      <c r="G468" s="2"/>
      <c r="H468" s="2"/>
    </row>
    <row r="469">
      <c r="F469" s="1"/>
      <c r="G469" s="2"/>
      <c r="H469" s="2"/>
    </row>
    <row r="470">
      <c r="F470" s="1"/>
      <c r="G470" s="2"/>
      <c r="H470" s="2"/>
    </row>
    <row r="471">
      <c r="F471" s="1"/>
      <c r="G471" s="2"/>
      <c r="H471" s="2"/>
    </row>
    <row r="472">
      <c r="F472" s="1"/>
      <c r="G472" s="2"/>
      <c r="H472" s="2"/>
    </row>
    <row r="473">
      <c r="F473" s="1"/>
      <c r="G473" s="2"/>
      <c r="H473" s="2"/>
    </row>
    <row r="474">
      <c r="F474" s="1"/>
      <c r="G474" s="2"/>
      <c r="H474" s="2"/>
    </row>
    <row r="475">
      <c r="F475" s="1"/>
      <c r="G475" s="2"/>
      <c r="H475" s="2"/>
    </row>
    <row r="476">
      <c r="F476" s="1"/>
      <c r="G476" s="2"/>
      <c r="H476" s="2"/>
    </row>
    <row r="477">
      <c r="F477" s="1"/>
      <c r="G477" s="2"/>
      <c r="H477" s="2"/>
    </row>
    <row r="478">
      <c r="F478" s="1"/>
      <c r="G478" s="2"/>
      <c r="H478" s="2"/>
    </row>
    <row r="479">
      <c r="F479" s="1"/>
      <c r="G479" s="2"/>
      <c r="H479" s="2"/>
    </row>
    <row r="480">
      <c r="F480" s="1"/>
      <c r="G480" s="2"/>
      <c r="H480" s="2"/>
    </row>
    <row r="481">
      <c r="F481" s="1"/>
      <c r="G481" s="2"/>
      <c r="H481" s="2"/>
    </row>
    <row r="482">
      <c r="F482" s="1"/>
      <c r="G482" s="2"/>
      <c r="H482" s="2"/>
    </row>
    <row r="483">
      <c r="F483" s="1"/>
      <c r="G483" s="2"/>
      <c r="H483" s="2"/>
    </row>
    <row r="484">
      <c r="F484" s="1"/>
      <c r="G484" s="2"/>
      <c r="H484" s="2"/>
    </row>
    <row r="485">
      <c r="F485" s="1"/>
      <c r="G485" s="2"/>
      <c r="H485" s="2"/>
    </row>
    <row r="486">
      <c r="F486" s="1"/>
      <c r="G486" s="2"/>
      <c r="H486" s="2"/>
    </row>
    <row r="487">
      <c r="F487" s="1"/>
      <c r="G487" s="2"/>
      <c r="H487" s="2"/>
    </row>
    <row r="488">
      <c r="F488" s="1"/>
      <c r="G488" s="2"/>
      <c r="H488" s="2"/>
    </row>
    <row r="489">
      <c r="F489" s="1"/>
      <c r="G489" s="2"/>
      <c r="H489" s="2"/>
    </row>
    <row r="490">
      <c r="F490" s="1"/>
      <c r="G490" s="2"/>
      <c r="H490" s="2"/>
    </row>
    <row r="491">
      <c r="F491" s="1"/>
      <c r="G491" s="2"/>
      <c r="H491" s="2"/>
    </row>
    <row r="492">
      <c r="F492" s="1"/>
      <c r="G492" s="2"/>
      <c r="H492" s="2"/>
    </row>
    <row r="493">
      <c r="F493" s="1"/>
      <c r="G493" s="2"/>
      <c r="H493" s="2"/>
    </row>
    <row r="494">
      <c r="F494" s="1"/>
      <c r="G494" s="2"/>
      <c r="H494" s="2"/>
    </row>
    <row r="495">
      <c r="F495" s="1"/>
      <c r="G495" s="2"/>
      <c r="H495" s="2"/>
    </row>
    <row r="496">
      <c r="F496" s="1"/>
      <c r="G496" s="2"/>
      <c r="H496" s="2"/>
    </row>
    <row r="497">
      <c r="F497" s="1"/>
      <c r="G497" s="2"/>
      <c r="H497" s="2"/>
    </row>
    <row r="498">
      <c r="F498" s="1"/>
      <c r="G498" s="2"/>
      <c r="H498" s="2"/>
    </row>
    <row r="499">
      <c r="F499" s="1"/>
      <c r="G499" s="2"/>
      <c r="H499" s="2"/>
    </row>
    <row r="500">
      <c r="F500" s="1"/>
      <c r="G500" s="2"/>
      <c r="H500" s="2"/>
    </row>
    <row r="501">
      <c r="F501" s="1"/>
      <c r="G501" s="2"/>
      <c r="H501" s="2"/>
    </row>
    <row r="502">
      <c r="F502" s="1"/>
      <c r="G502" s="2"/>
      <c r="H502" s="2"/>
    </row>
    <row r="503">
      <c r="F503" s="1"/>
      <c r="G503" s="2"/>
      <c r="H503" s="2"/>
    </row>
    <row r="504">
      <c r="F504" s="1"/>
      <c r="G504" s="2"/>
      <c r="H504" s="2"/>
    </row>
    <row r="505">
      <c r="F505" s="1"/>
      <c r="G505" s="2"/>
      <c r="H505" s="2"/>
    </row>
    <row r="506">
      <c r="F506" s="1"/>
      <c r="G506" s="2"/>
      <c r="H506" s="2"/>
    </row>
    <row r="507">
      <c r="F507" s="1"/>
      <c r="G507" s="2"/>
      <c r="H507" s="2"/>
    </row>
    <row r="508">
      <c r="F508" s="1"/>
      <c r="G508" s="2"/>
      <c r="H508" s="2"/>
    </row>
    <row r="509">
      <c r="F509" s="1"/>
      <c r="G509" s="2"/>
      <c r="H509" s="2"/>
    </row>
    <row r="510">
      <c r="F510" s="1"/>
      <c r="G510" s="2"/>
      <c r="H510" s="2"/>
    </row>
    <row r="511">
      <c r="F511" s="1"/>
      <c r="G511" s="2"/>
      <c r="H511" s="2"/>
    </row>
    <row r="512">
      <c r="F512" s="1"/>
      <c r="G512" s="2"/>
      <c r="H512" s="2"/>
    </row>
    <row r="513">
      <c r="F513" s="1"/>
      <c r="G513" s="2"/>
      <c r="H513" s="2"/>
    </row>
    <row r="514">
      <c r="F514" s="1"/>
      <c r="G514" s="2"/>
      <c r="H514" s="2"/>
    </row>
    <row r="515">
      <c r="F515" s="1"/>
      <c r="G515" s="2"/>
      <c r="H515" s="2"/>
    </row>
    <row r="516">
      <c r="F516" s="1"/>
      <c r="G516" s="2"/>
      <c r="H516" s="2"/>
    </row>
    <row r="517">
      <c r="F517" s="1"/>
      <c r="G517" s="2"/>
      <c r="H517" s="2"/>
    </row>
    <row r="518">
      <c r="F518" s="1"/>
      <c r="G518" s="2"/>
      <c r="H518" s="2"/>
    </row>
    <row r="519">
      <c r="F519" s="1"/>
      <c r="G519" s="2"/>
      <c r="H519" s="2"/>
    </row>
    <row r="520">
      <c r="F520" s="1"/>
      <c r="G520" s="2"/>
      <c r="H520" s="2"/>
    </row>
    <row r="521">
      <c r="F521" s="1"/>
      <c r="G521" s="2"/>
      <c r="H521" s="2"/>
    </row>
    <row r="522">
      <c r="F522" s="1"/>
      <c r="G522" s="2"/>
      <c r="H522" s="2"/>
    </row>
    <row r="523">
      <c r="F523" s="1"/>
      <c r="G523" s="2"/>
      <c r="H523" s="2"/>
    </row>
    <row r="524">
      <c r="F524" s="1"/>
      <c r="G524" s="2"/>
      <c r="H524" s="2"/>
    </row>
    <row r="525">
      <c r="F525" s="1"/>
      <c r="G525" s="2"/>
      <c r="H525" s="2"/>
    </row>
    <row r="526">
      <c r="F526" s="1"/>
      <c r="G526" s="2"/>
      <c r="H526" s="2"/>
    </row>
    <row r="527">
      <c r="F527" s="1"/>
      <c r="G527" s="2"/>
      <c r="H527" s="2"/>
    </row>
    <row r="528">
      <c r="F528" s="1"/>
      <c r="G528" s="2"/>
      <c r="H528" s="2"/>
    </row>
    <row r="529">
      <c r="F529" s="1"/>
      <c r="G529" s="2"/>
      <c r="H529" s="2"/>
    </row>
    <row r="530">
      <c r="F530" s="1"/>
      <c r="G530" s="2"/>
      <c r="H530" s="2"/>
    </row>
    <row r="531">
      <c r="F531" s="1"/>
      <c r="G531" s="2"/>
      <c r="H531" s="2"/>
    </row>
    <row r="532">
      <c r="F532" s="1"/>
      <c r="G532" s="2"/>
      <c r="H532" s="2"/>
    </row>
    <row r="533">
      <c r="F533" s="1"/>
      <c r="G533" s="2"/>
      <c r="H533" s="2"/>
    </row>
    <row r="534">
      <c r="F534" s="1"/>
      <c r="G534" s="2"/>
      <c r="H534" s="2"/>
    </row>
    <row r="535">
      <c r="F535" s="1"/>
      <c r="G535" s="2"/>
      <c r="H535" s="2"/>
    </row>
    <row r="536">
      <c r="F536" s="1"/>
      <c r="G536" s="2"/>
      <c r="H536" s="2"/>
    </row>
    <row r="537">
      <c r="F537" s="1"/>
      <c r="G537" s="2"/>
      <c r="H537" s="2"/>
    </row>
    <row r="538">
      <c r="F538" s="1"/>
      <c r="G538" s="2"/>
      <c r="H538" s="2"/>
    </row>
    <row r="539">
      <c r="F539" s="1"/>
      <c r="G539" s="2"/>
      <c r="H539" s="2"/>
    </row>
    <row r="540">
      <c r="F540" s="1"/>
      <c r="G540" s="2"/>
      <c r="H540" s="2"/>
    </row>
    <row r="541">
      <c r="F541" s="1"/>
      <c r="G541" s="2"/>
      <c r="H541" s="2"/>
    </row>
    <row r="542">
      <c r="F542" s="1"/>
      <c r="G542" s="2"/>
      <c r="H542" s="2"/>
    </row>
    <row r="543">
      <c r="F543" s="1"/>
      <c r="G543" s="2"/>
      <c r="H543" s="2"/>
    </row>
    <row r="544">
      <c r="F544" s="1"/>
      <c r="G544" s="2"/>
      <c r="H544" s="2"/>
    </row>
    <row r="545">
      <c r="F545" s="1"/>
      <c r="G545" s="2"/>
      <c r="H545" s="2"/>
    </row>
    <row r="546">
      <c r="F546" s="1"/>
      <c r="G546" s="2"/>
      <c r="H546" s="2"/>
    </row>
    <row r="547">
      <c r="F547" s="1"/>
      <c r="G547" s="2"/>
      <c r="H547" s="2"/>
    </row>
    <row r="548">
      <c r="F548" s="1"/>
      <c r="G548" s="2"/>
      <c r="H548" s="2"/>
    </row>
    <row r="549">
      <c r="F549" s="1"/>
      <c r="G549" s="2"/>
      <c r="H549" s="2"/>
    </row>
    <row r="550">
      <c r="F550" s="1"/>
      <c r="G550" s="2"/>
      <c r="H550" s="2"/>
    </row>
    <row r="551">
      <c r="F551" s="1"/>
      <c r="G551" s="2"/>
      <c r="H551" s="2"/>
    </row>
    <row r="552">
      <c r="F552" s="1"/>
      <c r="G552" s="2"/>
      <c r="H552" s="2"/>
    </row>
    <row r="553">
      <c r="F553" s="1"/>
      <c r="G553" s="2"/>
      <c r="H553" s="2"/>
    </row>
    <row r="554">
      <c r="F554" s="1"/>
      <c r="G554" s="2"/>
      <c r="H554" s="2"/>
    </row>
    <row r="555">
      <c r="F555" s="1"/>
      <c r="G555" s="2"/>
      <c r="H555" s="2"/>
    </row>
    <row r="556">
      <c r="F556" s="1"/>
      <c r="G556" s="2"/>
      <c r="H556" s="2"/>
    </row>
    <row r="557">
      <c r="F557" s="1"/>
      <c r="G557" s="2"/>
      <c r="H557" s="2"/>
    </row>
    <row r="558">
      <c r="F558" s="1"/>
      <c r="G558" s="2"/>
      <c r="H558" s="2"/>
    </row>
    <row r="559">
      <c r="F559" s="1"/>
      <c r="G559" s="2"/>
      <c r="H559" s="2"/>
    </row>
    <row r="560">
      <c r="F560" s="1"/>
      <c r="G560" s="2"/>
      <c r="H560" s="2"/>
    </row>
    <row r="561">
      <c r="F561" s="1"/>
      <c r="G561" s="2"/>
      <c r="H561" s="2"/>
    </row>
    <row r="562">
      <c r="F562" s="1"/>
      <c r="G562" s="2"/>
      <c r="H562" s="2"/>
    </row>
    <row r="563">
      <c r="F563" s="1"/>
      <c r="G563" s="2"/>
      <c r="H563" s="2"/>
    </row>
    <row r="564">
      <c r="F564" s="1"/>
      <c r="G564" s="2"/>
      <c r="H564" s="2"/>
    </row>
    <row r="565">
      <c r="F565" s="1"/>
      <c r="G565" s="2"/>
      <c r="H565" s="2"/>
    </row>
    <row r="566">
      <c r="F566" s="1"/>
      <c r="G566" s="2"/>
      <c r="H566" s="2"/>
    </row>
    <row r="567">
      <c r="F567" s="1"/>
      <c r="G567" s="2"/>
      <c r="H567" s="2"/>
    </row>
    <row r="568">
      <c r="F568" s="1"/>
      <c r="G568" s="2"/>
      <c r="H568" s="2"/>
    </row>
    <row r="569">
      <c r="F569" s="1"/>
      <c r="G569" s="2"/>
      <c r="H569" s="2"/>
    </row>
    <row r="570">
      <c r="F570" s="1"/>
      <c r="G570" s="2"/>
      <c r="H570" s="2"/>
    </row>
    <row r="571">
      <c r="F571" s="1"/>
      <c r="G571" s="2"/>
      <c r="H571" s="2"/>
    </row>
    <row r="572">
      <c r="F572" s="1"/>
      <c r="G572" s="2"/>
      <c r="H572" s="2"/>
    </row>
    <row r="573">
      <c r="F573" s="1"/>
      <c r="G573" s="2"/>
      <c r="H573" s="2"/>
    </row>
    <row r="574">
      <c r="F574" s="1"/>
      <c r="G574" s="2"/>
      <c r="H574" s="2"/>
    </row>
    <row r="575">
      <c r="F575" s="1"/>
      <c r="G575" s="2"/>
      <c r="H575" s="2"/>
    </row>
    <row r="576">
      <c r="F576" s="1"/>
      <c r="G576" s="2"/>
      <c r="H576" s="2"/>
    </row>
    <row r="577">
      <c r="F577" s="1"/>
      <c r="G577" s="2"/>
      <c r="H577" s="2"/>
    </row>
    <row r="578">
      <c r="F578" s="1"/>
      <c r="G578" s="2"/>
      <c r="H578" s="2"/>
    </row>
    <row r="579">
      <c r="F579" s="1"/>
      <c r="G579" s="2"/>
      <c r="H579" s="2"/>
    </row>
    <row r="580">
      <c r="F580" s="1"/>
      <c r="G580" s="2"/>
      <c r="H580" s="2"/>
    </row>
    <row r="581">
      <c r="F581" s="1"/>
      <c r="G581" s="2"/>
      <c r="H581" s="2"/>
    </row>
    <row r="582">
      <c r="F582" s="1"/>
      <c r="G582" s="2"/>
      <c r="H582" s="2"/>
    </row>
    <row r="583">
      <c r="F583" s="1"/>
      <c r="G583" s="2"/>
      <c r="H583" s="2"/>
    </row>
    <row r="584">
      <c r="F584" s="1"/>
      <c r="G584" s="2"/>
      <c r="H584" s="2"/>
    </row>
    <row r="585">
      <c r="F585" s="1"/>
      <c r="G585" s="2"/>
      <c r="H585" s="2"/>
    </row>
    <row r="586">
      <c r="F586" s="1"/>
      <c r="G586" s="2"/>
      <c r="H586" s="2"/>
    </row>
    <row r="587">
      <c r="F587" s="1"/>
      <c r="G587" s="2"/>
      <c r="H587" s="2"/>
    </row>
    <row r="588">
      <c r="F588" s="1"/>
      <c r="G588" s="2"/>
      <c r="H588" s="2"/>
    </row>
    <row r="589">
      <c r="F589" s="1"/>
      <c r="G589" s="2"/>
      <c r="H589" s="2"/>
    </row>
    <row r="590">
      <c r="F590" s="1"/>
      <c r="G590" s="2"/>
      <c r="H590" s="2"/>
    </row>
    <row r="591">
      <c r="F591" s="1"/>
      <c r="G591" s="2"/>
      <c r="H591" s="2"/>
    </row>
    <row r="592">
      <c r="F592" s="1"/>
      <c r="G592" s="2"/>
      <c r="H592" s="2"/>
    </row>
    <row r="593">
      <c r="F593" s="1"/>
      <c r="G593" s="2"/>
      <c r="H593" s="2"/>
    </row>
    <row r="594">
      <c r="F594" s="1"/>
      <c r="G594" s="2"/>
      <c r="H594" s="2"/>
    </row>
    <row r="595">
      <c r="F595" s="1"/>
      <c r="G595" s="2"/>
      <c r="H595" s="2"/>
    </row>
    <row r="596">
      <c r="F596" s="1"/>
      <c r="G596" s="2"/>
      <c r="H596" s="2"/>
    </row>
    <row r="597">
      <c r="F597" s="1"/>
      <c r="G597" s="2"/>
      <c r="H597" s="2"/>
    </row>
    <row r="598">
      <c r="F598" s="1"/>
      <c r="G598" s="2"/>
      <c r="H598" s="2"/>
    </row>
    <row r="599">
      <c r="F599" s="1"/>
      <c r="G599" s="2"/>
      <c r="H599" s="2"/>
    </row>
    <row r="600">
      <c r="F600" s="1"/>
      <c r="G600" s="2"/>
      <c r="H600" s="2"/>
    </row>
    <row r="601">
      <c r="F601" s="1"/>
      <c r="G601" s="2"/>
      <c r="H601" s="2"/>
    </row>
    <row r="602">
      <c r="F602" s="1"/>
      <c r="G602" s="2"/>
      <c r="H602" s="2"/>
    </row>
    <row r="603">
      <c r="F603" s="1"/>
      <c r="G603" s="2"/>
      <c r="H603" s="2"/>
    </row>
    <row r="604">
      <c r="F604" s="1"/>
      <c r="G604" s="2"/>
      <c r="H604" s="2"/>
    </row>
    <row r="605">
      <c r="F605" s="1"/>
      <c r="G605" s="2"/>
      <c r="H605" s="2"/>
    </row>
    <row r="606">
      <c r="F606" s="1"/>
      <c r="G606" s="2"/>
      <c r="H606" s="2"/>
    </row>
    <row r="607">
      <c r="F607" s="1"/>
      <c r="G607" s="2"/>
      <c r="H607" s="2"/>
    </row>
    <row r="608">
      <c r="F608" s="1"/>
      <c r="G608" s="2"/>
      <c r="H608" s="2"/>
    </row>
    <row r="609">
      <c r="F609" s="1"/>
      <c r="G609" s="2"/>
      <c r="H609" s="2"/>
    </row>
    <row r="610">
      <c r="F610" s="1"/>
      <c r="G610" s="2"/>
      <c r="H610" s="2"/>
    </row>
    <row r="611">
      <c r="F611" s="1"/>
      <c r="G611" s="2"/>
      <c r="H611" s="2"/>
    </row>
    <row r="612">
      <c r="F612" s="1"/>
      <c r="G612" s="2"/>
      <c r="H612" s="2"/>
    </row>
    <row r="613">
      <c r="F613" s="1"/>
      <c r="G613" s="2"/>
      <c r="H613" s="2"/>
    </row>
    <row r="614">
      <c r="F614" s="1"/>
      <c r="G614" s="2"/>
      <c r="H614" s="2"/>
    </row>
    <row r="615">
      <c r="F615" s="1"/>
      <c r="G615" s="2"/>
      <c r="H615" s="2"/>
    </row>
    <row r="616">
      <c r="F616" s="1"/>
      <c r="G616" s="2"/>
      <c r="H616" s="2"/>
    </row>
    <row r="617">
      <c r="F617" s="1"/>
      <c r="G617" s="2"/>
      <c r="H617" s="2"/>
    </row>
    <row r="618">
      <c r="F618" s="1"/>
      <c r="G618" s="2"/>
      <c r="H618" s="2"/>
    </row>
    <row r="619">
      <c r="F619" s="1"/>
      <c r="G619" s="2"/>
      <c r="H619" s="2"/>
    </row>
    <row r="620">
      <c r="F620" s="1"/>
      <c r="G620" s="2"/>
      <c r="H620" s="2"/>
    </row>
    <row r="621">
      <c r="F621" s="1"/>
      <c r="G621" s="2"/>
      <c r="H621" s="2"/>
    </row>
    <row r="622">
      <c r="F622" s="1"/>
      <c r="G622" s="2"/>
      <c r="H622" s="2"/>
    </row>
    <row r="623">
      <c r="F623" s="1"/>
      <c r="G623" s="2"/>
      <c r="H623" s="2"/>
    </row>
    <row r="624">
      <c r="F624" s="1"/>
      <c r="G624" s="2"/>
      <c r="H624" s="2"/>
    </row>
    <row r="625">
      <c r="F625" s="1"/>
      <c r="G625" s="2"/>
      <c r="H625" s="2"/>
    </row>
    <row r="626">
      <c r="F626" s="1"/>
      <c r="G626" s="2"/>
      <c r="H626" s="2"/>
    </row>
    <row r="627">
      <c r="F627" s="1"/>
      <c r="G627" s="2"/>
      <c r="H627" s="2"/>
    </row>
    <row r="628">
      <c r="F628" s="1"/>
      <c r="G628" s="2"/>
      <c r="H628" s="2"/>
    </row>
    <row r="629">
      <c r="F629" s="1"/>
      <c r="G629" s="2"/>
      <c r="H629" s="2"/>
    </row>
    <row r="630">
      <c r="F630" s="1"/>
      <c r="G630" s="2"/>
      <c r="H630" s="2"/>
    </row>
    <row r="631">
      <c r="F631" s="1"/>
      <c r="G631" s="2"/>
      <c r="H631" s="2"/>
    </row>
    <row r="632">
      <c r="F632" s="1"/>
      <c r="G632" s="2"/>
      <c r="H632" s="2"/>
    </row>
    <row r="633">
      <c r="F633" s="1"/>
      <c r="G633" s="2"/>
      <c r="H633" s="2"/>
    </row>
    <row r="634">
      <c r="F634" s="1"/>
      <c r="G634" s="2"/>
      <c r="H634" s="2"/>
    </row>
    <row r="635">
      <c r="F635" s="1"/>
      <c r="G635" s="2"/>
      <c r="H635" s="2"/>
    </row>
    <row r="636">
      <c r="F636" s="1"/>
      <c r="G636" s="2"/>
      <c r="H636" s="2"/>
    </row>
    <row r="637">
      <c r="F637" s="1"/>
      <c r="G637" s="2"/>
      <c r="H637" s="2"/>
    </row>
    <row r="638">
      <c r="F638" s="1"/>
      <c r="G638" s="2"/>
      <c r="H638" s="2"/>
    </row>
    <row r="639">
      <c r="F639" s="1"/>
      <c r="G639" s="2"/>
      <c r="H639" s="2"/>
    </row>
    <row r="640">
      <c r="F640" s="1"/>
      <c r="G640" s="2"/>
      <c r="H640" s="2"/>
    </row>
    <row r="641">
      <c r="F641" s="1"/>
      <c r="G641" s="2"/>
      <c r="H641" s="2"/>
    </row>
    <row r="642">
      <c r="F642" s="1"/>
      <c r="G642" s="2"/>
      <c r="H642" s="2"/>
    </row>
    <row r="643">
      <c r="F643" s="1"/>
      <c r="G643" s="2"/>
      <c r="H643" s="2"/>
    </row>
    <row r="644">
      <c r="F644" s="1"/>
      <c r="G644" s="2"/>
      <c r="H644" s="2"/>
    </row>
    <row r="645">
      <c r="F645" s="1"/>
      <c r="G645" s="2"/>
      <c r="H645" s="2"/>
    </row>
    <row r="646">
      <c r="F646" s="1"/>
      <c r="G646" s="2"/>
      <c r="H646" s="2"/>
    </row>
    <row r="647">
      <c r="F647" s="1"/>
      <c r="G647" s="2"/>
      <c r="H647" s="2"/>
    </row>
    <row r="648">
      <c r="F648" s="1"/>
      <c r="G648" s="2"/>
      <c r="H648" s="2"/>
    </row>
    <row r="649">
      <c r="F649" s="1"/>
      <c r="G649" s="2"/>
      <c r="H649" s="2"/>
    </row>
    <row r="650">
      <c r="F650" s="1"/>
      <c r="G650" s="2"/>
      <c r="H650" s="2"/>
    </row>
    <row r="651">
      <c r="F651" s="1"/>
      <c r="G651" s="2"/>
      <c r="H651" s="2"/>
    </row>
    <row r="652">
      <c r="F652" s="1"/>
      <c r="G652" s="2"/>
      <c r="H652" s="2"/>
    </row>
    <row r="653">
      <c r="F653" s="1"/>
      <c r="G653" s="2"/>
      <c r="H653" s="2"/>
    </row>
    <row r="654">
      <c r="F654" s="1"/>
      <c r="G654" s="2"/>
      <c r="H654" s="2"/>
    </row>
    <row r="655">
      <c r="F655" s="1"/>
      <c r="G655" s="2"/>
      <c r="H655" s="2"/>
    </row>
    <row r="656">
      <c r="F656" s="1"/>
      <c r="G656" s="2"/>
      <c r="H656" s="2"/>
    </row>
    <row r="657">
      <c r="F657" s="1"/>
      <c r="G657" s="2"/>
      <c r="H657" s="2"/>
    </row>
    <row r="658">
      <c r="F658" s="1"/>
      <c r="G658" s="2"/>
      <c r="H658" s="2"/>
    </row>
    <row r="659">
      <c r="F659" s="1"/>
      <c r="G659" s="2"/>
      <c r="H659" s="2"/>
    </row>
    <row r="660">
      <c r="F660" s="1"/>
      <c r="G660" s="2"/>
      <c r="H660" s="2"/>
    </row>
    <row r="661">
      <c r="F661" s="1"/>
      <c r="G661" s="2"/>
      <c r="H661" s="2"/>
    </row>
    <row r="662">
      <c r="F662" s="1"/>
      <c r="G662" s="2"/>
      <c r="H662" s="2"/>
    </row>
    <row r="663">
      <c r="F663" s="1"/>
      <c r="G663" s="2"/>
      <c r="H663" s="2"/>
    </row>
    <row r="664">
      <c r="F664" s="1"/>
      <c r="G664" s="2"/>
      <c r="H664" s="2"/>
    </row>
    <row r="665">
      <c r="F665" s="1"/>
      <c r="G665" s="2"/>
      <c r="H665" s="2"/>
    </row>
    <row r="666">
      <c r="F666" s="1"/>
      <c r="G666" s="2"/>
      <c r="H666" s="2"/>
    </row>
    <row r="667">
      <c r="F667" s="1"/>
      <c r="G667" s="2"/>
      <c r="H667" s="2"/>
    </row>
    <row r="668">
      <c r="F668" s="1"/>
      <c r="G668" s="2"/>
      <c r="H668" s="2"/>
    </row>
    <row r="669">
      <c r="F669" s="1"/>
      <c r="G669" s="2"/>
      <c r="H669" s="2"/>
    </row>
    <row r="670">
      <c r="F670" s="1"/>
      <c r="G670" s="2"/>
      <c r="H670" s="2"/>
    </row>
    <row r="671">
      <c r="F671" s="1"/>
      <c r="G671" s="2"/>
      <c r="H671" s="2"/>
    </row>
    <row r="672">
      <c r="F672" s="1"/>
      <c r="G672" s="2"/>
      <c r="H672" s="2"/>
    </row>
    <row r="673">
      <c r="F673" s="1"/>
      <c r="G673" s="2"/>
      <c r="H673" s="2"/>
    </row>
    <row r="674">
      <c r="F674" s="1"/>
      <c r="G674" s="2"/>
      <c r="H674" s="2"/>
    </row>
    <row r="675">
      <c r="F675" s="1"/>
      <c r="G675" s="2"/>
      <c r="H675" s="2"/>
    </row>
    <row r="676">
      <c r="F676" s="1"/>
      <c r="G676" s="2"/>
      <c r="H676" s="2"/>
    </row>
    <row r="677">
      <c r="F677" s="1"/>
      <c r="G677" s="2"/>
      <c r="H677" s="2"/>
    </row>
    <row r="678">
      <c r="F678" s="1"/>
      <c r="G678" s="2"/>
      <c r="H678" s="2"/>
    </row>
    <row r="679">
      <c r="F679" s="1"/>
      <c r="G679" s="2"/>
      <c r="H679" s="2"/>
    </row>
    <row r="680">
      <c r="F680" s="1"/>
      <c r="G680" s="2"/>
      <c r="H680" s="2"/>
    </row>
    <row r="681">
      <c r="F681" s="1"/>
      <c r="G681" s="2"/>
      <c r="H681" s="2"/>
    </row>
    <row r="682">
      <c r="F682" s="1"/>
      <c r="G682" s="2"/>
      <c r="H682" s="2"/>
    </row>
    <row r="683">
      <c r="F683" s="1"/>
      <c r="G683" s="2"/>
      <c r="H683" s="2"/>
    </row>
    <row r="684">
      <c r="F684" s="1"/>
      <c r="G684" s="2"/>
      <c r="H684" s="2"/>
    </row>
    <row r="685">
      <c r="F685" s="1"/>
      <c r="G685" s="2"/>
      <c r="H685" s="2"/>
    </row>
    <row r="686">
      <c r="F686" s="1"/>
      <c r="G686" s="2"/>
      <c r="H686" s="2"/>
    </row>
    <row r="687">
      <c r="F687" s="1"/>
      <c r="G687" s="2"/>
      <c r="H687" s="2"/>
    </row>
    <row r="688">
      <c r="F688" s="1"/>
      <c r="G688" s="2"/>
      <c r="H688" s="2"/>
    </row>
    <row r="689">
      <c r="F689" s="1"/>
      <c r="G689" s="2"/>
      <c r="H689" s="2"/>
    </row>
    <row r="690">
      <c r="F690" s="1"/>
      <c r="G690" s="2"/>
      <c r="H690" s="2"/>
    </row>
    <row r="691">
      <c r="F691" s="1"/>
      <c r="G691" s="2"/>
      <c r="H691" s="2"/>
    </row>
    <row r="692">
      <c r="F692" s="1"/>
      <c r="G692" s="2"/>
      <c r="H692" s="2"/>
    </row>
    <row r="693">
      <c r="F693" s="1"/>
      <c r="G693" s="2"/>
      <c r="H693" s="2"/>
    </row>
    <row r="694">
      <c r="F694" s="1"/>
      <c r="G694" s="2"/>
      <c r="H694" s="2"/>
    </row>
    <row r="695">
      <c r="F695" s="1"/>
      <c r="G695" s="2"/>
      <c r="H695" s="2"/>
    </row>
    <row r="696">
      <c r="F696" s="1"/>
      <c r="G696" s="2"/>
      <c r="H696" s="2"/>
    </row>
    <row r="697">
      <c r="F697" s="1"/>
      <c r="G697" s="2"/>
      <c r="H697" s="2"/>
    </row>
    <row r="698">
      <c r="F698" s="1"/>
      <c r="G698" s="2"/>
      <c r="H698" s="2"/>
    </row>
    <row r="699">
      <c r="F699" s="1"/>
      <c r="G699" s="2"/>
      <c r="H699" s="2"/>
    </row>
    <row r="700">
      <c r="F700" s="1"/>
      <c r="G700" s="2"/>
      <c r="H700" s="2"/>
    </row>
    <row r="701">
      <c r="F701" s="1"/>
      <c r="G701" s="2"/>
      <c r="H701" s="2"/>
    </row>
    <row r="702">
      <c r="F702" s="1"/>
      <c r="G702" s="2"/>
      <c r="H702" s="2"/>
    </row>
    <row r="703">
      <c r="F703" s="1"/>
      <c r="G703" s="2"/>
      <c r="H703" s="2"/>
    </row>
    <row r="704">
      <c r="F704" s="1"/>
      <c r="G704" s="2"/>
      <c r="H704" s="2"/>
    </row>
    <row r="705">
      <c r="F705" s="1"/>
      <c r="G705" s="2"/>
      <c r="H705" s="2"/>
    </row>
    <row r="706">
      <c r="F706" s="1"/>
      <c r="G706" s="2"/>
      <c r="H706" s="2"/>
    </row>
    <row r="707">
      <c r="F707" s="1"/>
      <c r="G707" s="2"/>
      <c r="H707" s="2"/>
    </row>
    <row r="708">
      <c r="F708" s="1"/>
      <c r="G708" s="2"/>
      <c r="H708" s="2"/>
    </row>
    <row r="709">
      <c r="F709" s="1"/>
      <c r="G709" s="2"/>
      <c r="H709" s="2"/>
    </row>
    <row r="710">
      <c r="F710" s="1"/>
      <c r="G710" s="2"/>
      <c r="H710" s="2"/>
    </row>
    <row r="711">
      <c r="F711" s="1"/>
      <c r="G711" s="2"/>
      <c r="H711" s="2"/>
    </row>
    <row r="712">
      <c r="F712" s="1"/>
      <c r="G712" s="2"/>
      <c r="H712" s="2"/>
    </row>
    <row r="713">
      <c r="F713" s="1"/>
      <c r="G713" s="2"/>
      <c r="H713" s="2"/>
    </row>
    <row r="714">
      <c r="F714" s="1"/>
      <c r="G714" s="2"/>
      <c r="H714" s="2"/>
    </row>
    <row r="715">
      <c r="F715" s="1"/>
      <c r="G715" s="2"/>
      <c r="H715" s="2"/>
    </row>
    <row r="716">
      <c r="F716" s="1"/>
      <c r="G716" s="2"/>
      <c r="H716" s="2"/>
    </row>
    <row r="717">
      <c r="F717" s="1"/>
      <c r="G717" s="2"/>
      <c r="H717" s="2"/>
    </row>
    <row r="718">
      <c r="F718" s="1"/>
      <c r="G718" s="2"/>
      <c r="H718" s="2"/>
    </row>
    <row r="719">
      <c r="F719" s="1"/>
      <c r="G719" s="2"/>
      <c r="H719" s="2"/>
    </row>
    <row r="720">
      <c r="F720" s="1"/>
      <c r="G720" s="2"/>
      <c r="H720" s="2"/>
    </row>
    <row r="721">
      <c r="F721" s="1"/>
      <c r="G721" s="2"/>
      <c r="H721" s="2"/>
    </row>
    <row r="722">
      <c r="F722" s="1"/>
      <c r="G722" s="2"/>
      <c r="H722" s="2"/>
    </row>
    <row r="723">
      <c r="F723" s="1"/>
      <c r="G723" s="2"/>
      <c r="H723" s="2"/>
    </row>
    <row r="724">
      <c r="F724" s="1"/>
      <c r="G724" s="2"/>
      <c r="H724" s="2"/>
    </row>
    <row r="725">
      <c r="F725" s="1"/>
      <c r="G725" s="2"/>
      <c r="H725" s="2"/>
    </row>
    <row r="726">
      <c r="F726" s="1"/>
      <c r="G726" s="2"/>
      <c r="H726" s="2"/>
    </row>
    <row r="727">
      <c r="F727" s="1"/>
      <c r="G727" s="2"/>
      <c r="H727" s="2"/>
    </row>
    <row r="728">
      <c r="F728" s="1"/>
      <c r="G728" s="2"/>
      <c r="H728" s="2"/>
    </row>
    <row r="729">
      <c r="F729" s="1"/>
      <c r="G729" s="2"/>
      <c r="H729" s="2"/>
    </row>
    <row r="730">
      <c r="F730" s="1"/>
      <c r="G730" s="2"/>
      <c r="H730" s="2"/>
    </row>
    <row r="731">
      <c r="F731" s="1"/>
      <c r="G731" s="2"/>
      <c r="H731" s="2"/>
    </row>
    <row r="732">
      <c r="F732" s="1"/>
      <c r="G732" s="2"/>
      <c r="H732" s="2"/>
    </row>
    <row r="733">
      <c r="F733" s="1"/>
      <c r="G733" s="2"/>
      <c r="H733" s="2"/>
    </row>
    <row r="734">
      <c r="F734" s="1"/>
      <c r="G734" s="2"/>
      <c r="H734" s="2"/>
    </row>
    <row r="735">
      <c r="F735" s="1"/>
      <c r="G735" s="2"/>
      <c r="H735" s="2"/>
    </row>
    <row r="736">
      <c r="F736" s="1"/>
      <c r="G736" s="2"/>
      <c r="H736" s="2"/>
    </row>
    <row r="737">
      <c r="F737" s="1"/>
      <c r="G737" s="2"/>
      <c r="H737" s="2"/>
    </row>
    <row r="738">
      <c r="F738" s="1"/>
      <c r="G738" s="2"/>
      <c r="H738" s="2"/>
    </row>
    <row r="739">
      <c r="F739" s="1"/>
      <c r="G739" s="2"/>
      <c r="H739" s="2"/>
    </row>
    <row r="740">
      <c r="F740" s="1"/>
      <c r="G740" s="2"/>
      <c r="H740" s="2"/>
    </row>
    <row r="741">
      <c r="F741" s="1"/>
      <c r="G741" s="2"/>
      <c r="H741" s="2"/>
    </row>
    <row r="742">
      <c r="F742" s="1"/>
      <c r="G742" s="2"/>
      <c r="H742" s="2"/>
    </row>
    <row r="743">
      <c r="F743" s="1"/>
      <c r="G743" s="2"/>
      <c r="H743" s="2"/>
    </row>
    <row r="744">
      <c r="F744" s="1"/>
      <c r="G744" s="2"/>
      <c r="H744" s="2"/>
    </row>
    <row r="745">
      <c r="F745" s="1"/>
      <c r="G745" s="2"/>
      <c r="H745" s="2"/>
    </row>
    <row r="746">
      <c r="F746" s="1"/>
      <c r="G746" s="2"/>
      <c r="H746" s="2"/>
    </row>
    <row r="747">
      <c r="F747" s="1"/>
      <c r="G747" s="2"/>
      <c r="H747" s="2"/>
    </row>
    <row r="748">
      <c r="F748" s="1"/>
      <c r="G748" s="2"/>
      <c r="H748" s="2"/>
    </row>
    <row r="749">
      <c r="F749" s="1"/>
      <c r="G749" s="2"/>
      <c r="H749" s="2"/>
    </row>
    <row r="750">
      <c r="F750" s="1"/>
      <c r="G750" s="2"/>
      <c r="H750" s="2"/>
    </row>
    <row r="751">
      <c r="F751" s="1"/>
      <c r="G751" s="2"/>
      <c r="H751" s="2"/>
    </row>
    <row r="752">
      <c r="F752" s="1"/>
      <c r="G752" s="2"/>
      <c r="H752" s="2"/>
    </row>
    <row r="753">
      <c r="F753" s="1"/>
      <c r="G753" s="2"/>
      <c r="H753" s="2"/>
    </row>
    <row r="754">
      <c r="F754" s="1"/>
      <c r="G754" s="2"/>
      <c r="H754" s="2"/>
    </row>
    <row r="755">
      <c r="F755" s="1"/>
      <c r="G755" s="2"/>
      <c r="H755" s="2"/>
    </row>
    <row r="756">
      <c r="F756" s="1"/>
      <c r="G756" s="2"/>
      <c r="H756" s="2"/>
    </row>
    <row r="757">
      <c r="F757" s="1"/>
      <c r="G757" s="2"/>
      <c r="H757" s="2"/>
    </row>
    <row r="758">
      <c r="F758" s="1"/>
      <c r="G758" s="2"/>
      <c r="H758" s="2"/>
    </row>
    <row r="759">
      <c r="F759" s="1"/>
      <c r="G759" s="2"/>
      <c r="H759" s="2"/>
    </row>
    <row r="760">
      <c r="F760" s="1"/>
      <c r="G760" s="2"/>
      <c r="H760" s="2"/>
    </row>
    <row r="761">
      <c r="F761" s="1"/>
      <c r="G761" s="2"/>
      <c r="H761" s="2"/>
    </row>
    <row r="762">
      <c r="F762" s="1"/>
      <c r="G762" s="2"/>
      <c r="H762" s="2"/>
    </row>
    <row r="763">
      <c r="F763" s="1"/>
      <c r="G763" s="2"/>
      <c r="H763" s="2"/>
    </row>
    <row r="764">
      <c r="F764" s="1"/>
      <c r="G764" s="2"/>
      <c r="H764" s="2"/>
    </row>
    <row r="765">
      <c r="F765" s="1"/>
      <c r="G765" s="2"/>
      <c r="H765" s="2"/>
    </row>
    <row r="766">
      <c r="F766" s="1"/>
      <c r="G766" s="2"/>
      <c r="H766" s="2"/>
    </row>
    <row r="767">
      <c r="F767" s="1"/>
      <c r="G767" s="2"/>
      <c r="H767" s="2"/>
    </row>
    <row r="768">
      <c r="F768" s="1"/>
      <c r="G768" s="2"/>
      <c r="H768" s="2"/>
    </row>
    <row r="769">
      <c r="F769" s="1"/>
      <c r="G769" s="2"/>
      <c r="H769" s="2"/>
    </row>
    <row r="770">
      <c r="F770" s="1"/>
      <c r="G770" s="2"/>
      <c r="H770" s="2"/>
    </row>
    <row r="771">
      <c r="F771" s="1"/>
      <c r="G771" s="2"/>
      <c r="H771" s="2"/>
    </row>
    <row r="772">
      <c r="F772" s="1"/>
      <c r="G772" s="2"/>
      <c r="H772" s="2"/>
    </row>
    <row r="773">
      <c r="F773" s="1"/>
      <c r="G773" s="2"/>
      <c r="H773" s="2"/>
    </row>
    <row r="774">
      <c r="F774" s="1"/>
      <c r="G774" s="2"/>
      <c r="H774" s="2"/>
    </row>
    <row r="775">
      <c r="F775" s="1"/>
      <c r="G775" s="2"/>
      <c r="H775" s="2"/>
    </row>
    <row r="776">
      <c r="F776" s="1"/>
      <c r="G776" s="2"/>
      <c r="H776" s="2"/>
    </row>
    <row r="777">
      <c r="F777" s="1"/>
      <c r="G777" s="2"/>
      <c r="H777" s="2"/>
    </row>
    <row r="778">
      <c r="F778" s="1"/>
      <c r="G778" s="2"/>
      <c r="H778" s="2"/>
    </row>
    <row r="779">
      <c r="F779" s="1"/>
      <c r="G779" s="2"/>
      <c r="H779" s="2"/>
    </row>
    <row r="780">
      <c r="F780" s="1"/>
      <c r="G780" s="2"/>
      <c r="H780" s="2"/>
    </row>
    <row r="781">
      <c r="F781" s="1"/>
      <c r="G781" s="2"/>
      <c r="H781" s="2"/>
    </row>
    <row r="782">
      <c r="F782" s="1"/>
      <c r="G782" s="2"/>
      <c r="H782" s="2"/>
    </row>
    <row r="783">
      <c r="F783" s="1"/>
      <c r="G783" s="2"/>
      <c r="H783" s="2"/>
    </row>
    <row r="784">
      <c r="F784" s="1"/>
      <c r="G784" s="2"/>
      <c r="H784" s="2"/>
    </row>
    <row r="785">
      <c r="F785" s="1"/>
      <c r="G785" s="2"/>
      <c r="H785" s="2"/>
    </row>
    <row r="786">
      <c r="F786" s="1"/>
      <c r="G786" s="2"/>
      <c r="H786" s="2"/>
    </row>
    <row r="787">
      <c r="F787" s="1"/>
      <c r="G787" s="2"/>
      <c r="H787" s="2"/>
    </row>
    <row r="788">
      <c r="F788" s="1"/>
      <c r="G788" s="2"/>
      <c r="H788" s="2"/>
    </row>
    <row r="789">
      <c r="F789" s="1"/>
      <c r="G789" s="2"/>
      <c r="H789" s="2"/>
    </row>
    <row r="790">
      <c r="F790" s="1"/>
      <c r="G790" s="2"/>
      <c r="H790" s="2"/>
    </row>
    <row r="791">
      <c r="F791" s="1"/>
      <c r="G791" s="2"/>
      <c r="H791" s="2"/>
    </row>
    <row r="792">
      <c r="F792" s="1"/>
      <c r="G792" s="2"/>
      <c r="H792" s="2"/>
    </row>
    <row r="793">
      <c r="F793" s="1"/>
      <c r="G793" s="2"/>
      <c r="H793" s="2"/>
    </row>
    <row r="794">
      <c r="F794" s="1"/>
      <c r="G794" s="2"/>
      <c r="H794" s="2"/>
    </row>
    <row r="795">
      <c r="F795" s="1"/>
      <c r="G795" s="2"/>
      <c r="H795" s="2"/>
    </row>
    <row r="796">
      <c r="F796" s="1"/>
      <c r="G796" s="2"/>
      <c r="H796" s="2"/>
    </row>
    <row r="797">
      <c r="F797" s="1"/>
      <c r="G797" s="2"/>
      <c r="H797" s="2"/>
    </row>
    <row r="798">
      <c r="F798" s="1"/>
      <c r="G798" s="2"/>
      <c r="H798" s="2"/>
    </row>
    <row r="799">
      <c r="F799" s="1"/>
      <c r="G799" s="2"/>
      <c r="H799" s="2"/>
    </row>
    <row r="800">
      <c r="F800" s="1"/>
      <c r="G800" s="2"/>
      <c r="H800" s="2"/>
    </row>
    <row r="801">
      <c r="F801" s="1"/>
      <c r="G801" s="2"/>
      <c r="H801" s="2"/>
    </row>
    <row r="802">
      <c r="F802" s="1"/>
      <c r="G802" s="2"/>
      <c r="H802" s="2"/>
    </row>
    <row r="803">
      <c r="F803" s="1"/>
      <c r="G803" s="2"/>
      <c r="H803" s="2"/>
    </row>
    <row r="804">
      <c r="F804" s="1"/>
      <c r="G804" s="2"/>
      <c r="H804" s="2"/>
    </row>
    <row r="805">
      <c r="F805" s="1"/>
      <c r="G805" s="2"/>
      <c r="H805" s="2"/>
    </row>
    <row r="806">
      <c r="F806" s="1"/>
      <c r="G806" s="2"/>
      <c r="H806" s="2"/>
    </row>
    <row r="807">
      <c r="F807" s="1"/>
      <c r="G807" s="2"/>
      <c r="H807" s="2"/>
    </row>
    <row r="808">
      <c r="F808" s="1"/>
      <c r="G808" s="2"/>
      <c r="H808" s="2"/>
    </row>
    <row r="809">
      <c r="F809" s="1"/>
      <c r="G809" s="2"/>
      <c r="H809" s="2"/>
    </row>
    <row r="810">
      <c r="F810" s="1"/>
      <c r="G810" s="2"/>
      <c r="H810" s="2"/>
    </row>
    <row r="811">
      <c r="F811" s="1"/>
      <c r="G811" s="2"/>
      <c r="H811" s="2"/>
    </row>
    <row r="812">
      <c r="F812" s="1"/>
      <c r="G812" s="2"/>
      <c r="H812" s="2"/>
    </row>
    <row r="813">
      <c r="F813" s="1"/>
      <c r="G813" s="2"/>
      <c r="H813" s="2"/>
    </row>
    <row r="814">
      <c r="F814" s="1"/>
      <c r="G814" s="2"/>
      <c r="H814" s="2"/>
    </row>
    <row r="815">
      <c r="F815" s="1"/>
      <c r="G815" s="2"/>
      <c r="H815" s="2"/>
    </row>
    <row r="816">
      <c r="F816" s="1"/>
      <c r="G816" s="2"/>
      <c r="H816" s="2"/>
    </row>
    <row r="817">
      <c r="F817" s="1"/>
      <c r="G817" s="2"/>
      <c r="H817" s="2"/>
    </row>
    <row r="818">
      <c r="F818" s="1"/>
      <c r="G818" s="2"/>
      <c r="H818" s="2"/>
    </row>
    <row r="819">
      <c r="F819" s="1"/>
      <c r="G819" s="2"/>
      <c r="H819" s="2"/>
    </row>
    <row r="820">
      <c r="F820" s="1"/>
      <c r="G820" s="2"/>
      <c r="H820" s="2"/>
    </row>
    <row r="821">
      <c r="F821" s="1"/>
      <c r="G821" s="2"/>
      <c r="H821" s="2"/>
    </row>
    <row r="822">
      <c r="F822" s="1"/>
      <c r="G822" s="2"/>
      <c r="H822" s="2"/>
    </row>
    <row r="823">
      <c r="F823" s="1"/>
      <c r="G823" s="2"/>
      <c r="H823" s="2"/>
    </row>
    <row r="824">
      <c r="F824" s="1"/>
      <c r="G824" s="2"/>
      <c r="H824" s="2"/>
    </row>
    <row r="825">
      <c r="F825" s="1"/>
      <c r="G825" s="2"/>
      <c r="H825" s="2"/>
    </row>
    <row r="826">
      <c r="F826" s="1"/>
      <c r="G826" s="2"/>
      <c r="H826" s="2"/>
    </row>
    <row r="827">
      <c r="F827" s="1"/>
      <c r="G827" s="2"/>
      <c r="H827" s="2"/>
    </row>
    <row r="828">
      <c r="F828" s="1"/>
      <c r="G828" s="2"/>
      <c r="H828" s="2"/>
    </row>
    <row r="829">
      <c r="F829" s="1"/>
      <c r="G829" s="2"/>
      <c r="H829" s="2"/>
    </row>
    <row r="830">
      <c r="F830" s="1"/>
      <c r="G830" s="2"/>
      <c r="H830" s="2"/>
    </row>
    <row r="831">
      <c r="F831" s="1"/>
      <c r="G831" s="2"/>
      <c r="H831" s="2"/>
    </row>
    <row r="832">
      <c r="F832" s="1"/>
      <c r="G832" s="2"/>
      <c r="H832" s="2"/>
    </row>
    <row r="833">
      <c r="F833" s="1"/>
      <c r="G833" s="2"/>
      <c r="H833" s="2"/>
    </row>
    <row r="834">
      <c r="F834" s="1"/>
      <c r="G834" s="2"/>
      <c r="H834" s="2"/>
    </row>
    <row r="835">
      <c r="F835" s="1"/>
      <c r="G835" s="2"/>
      <c r="H835" s="2"/>
    </row>
    <row r="836">
      <c r="F836" s="1"/>
      <c r="G836" s="2"/>
      <c r="H836" s="2"/>
    </row>
    <row r="837">
      <c r="F837" s="1"/>
      <c r="G837" s="2"/>
      <c r="H837" s="2"/>
    </row>
    <row r="838">
      <c r="F838" s="1"/>
      <c r="G838" s="2"/>
      <c r="H838" s="2"/>
    </row>
    <row r="839">
      <c r="F839" s="1"/>
      <c r="G839" s="2"/>
      <c r="H839" s="2"/>
    </row>
    <row r="840">
      <c r="F840" s="1"/>
      <c r="G840" s="2"/>
      <c r="H840" s="2"/>
    </row>
    <row r="841">
      <c r="F841" s="1"/>
      <c r="G841" s="2"/>
      <c r="H841" s="2"/>
    </row>
    <row r="842">
      <c r="F842" s="1"/>
      <c r="G842" s="2"/>
      <c r="H842" s="2"/>
    </row>
    <row r="843">
      <c r="F843" s="1"/>
      <c r="G843" s="2"/>
      <c r="H843" s="2"/>
    </row>
    <row r="844">
      <c r="F844" s="1"/>
      <c r="G844" s="2"/>
      <c r="H844" s="2"/>
    </row>
    <row r="845">
      <c r="F845" s="1"/>
      <c r="G845" s="2"/>
      <c r="H845" s="2"/>
    </row>
    <row r="846">
      <c r="F846" s="1"/>
      <c r="G846" s="2"/>
      <c r="H846" s="2"/>
    </row>
    <row r="847">
      <c r="F847" s="1"/>
      <c r="G847" s="2"/>
      <c r="H847" s="2"/>
    </row>
    <row r="848">
      <c r="F848" s="1"/>
      <c r="G848" s="2"/>
      <c r="H848" s="2"/>
    </row>
    <row r="849">
      <c r="F849" s="1"/>
      <c r="G849" s="2"/>
      <c r="H849" s="2"/>
    </row>
    <row r="850">
      <c r="F850" s="1"/>
      <c r="G850" s="2"/>
      <c r="H850" s="2"/>
    </row>
    <row r="851">
      <c r="F851" s="1"/>
      <c r="G851" s="2"/>
      <c r="H851" s="2"/>
    </row>
    <row r="852">
      <c r="F852" s="1"/>
      <c r="G852" s="2"/>
      <c r="H852" s="2"/>
    </row>
    <row r="853">
      <c r="F853" s="1"/>
      <c r="G853" s="2"/>
      <c r="H853" s="2"/>
    </row>
    <row r="854">
      <c r="F854" s="1"/>
      <c r="G854" s="2"/>
      <c r="H854" s="2"/>
    </row>
    <row r="855">
      <c r="F855" s="1"/>
      <c r="G855" s="2"/>
      <c r="H855" s="2"/>
    </row>
    <row r="856">
      <c r="F856" s="1"/>
      <c r="G856" s="2"/>
      <c r="H856" s="2"/>
    </row>
    <row r="857">
      <c r="F857" s="1"/>
      <c r="G857" s="2"/>
      <c r="H857" s="2"/>
    </row>
    <row r="858">
      <c r="F858" s="1"/>
      <c r="G858" s="2"/>
      <c r="H858" s="2"/>
    </row>
    <row r="859">
      <c r="F859" s="1"/>
      <c r="G859" s="2"/>
      <c r="H859" s="2"/>
    </row>
    <row r="860">
      <c r="F860" s="1"/>
      <c r="G860" s="2"/>
      <c r="H860" s="2"/>
    </row>
    <row r="861">
      <c r="F861" s="1"/>
      <c r="G861" s="2"/>
      <c r="H861" s="2"/>
    </row>
    <row r="862">
      <c r="F862" s="1"/>
      <c r="G862" s="2"/>
      <c r="H862" s="2"/>
    </row>
    <row r="863">
      <c r="F863" s="1"/>
      <c r="G863" s="2"/>
      <c r="H863" s="2"/>
    </row>
    <row r="864">
      <c r="F864" s="1"/>
      <c r="G864" s="2"/>
      <c r="H864" s="2"/>
    </row>
    <row r="865">
      <c r="F865" s="1"/>
      <c r="G865" s="2"/>
      <c r="H865" s="2"/>
    </row>
    <row r="866">
      <c r="F866" s="1"/>
      <c r="G866" s="2"/>
      <c r="H866" s="2"/>
    </row>
    <row r="867">
      <c r="F867" s="1"/>
      <c r="G867" s="2"/>
      <c r="H867" s="2"/>
    </row>
    <row r="868">
      <c r="F868" s="1"/>
      <c r="G868" s="2"/>
      <c r="H868" s="2"/>
    </row>
    <row r="869">
      <c r="F869" s="1"/>
      <c r="G869" s="2"/>
      <c r="H869" s="2"/>
    </row>
    <row r="870">
      <c r="F870" s="1"/>
      <c r="G870" s="2"/>
      <c r="H870" s="2"/>
    </row>
    <row r="871">
      <c r="F871" s="1"/>
      <c r="G871" s="2"/>
      <c r="H871" s="2"/>
    </row>
    <row r="872">
      <c r="F872" s="1"/>
      <c r="G872" s="2"/>
      <c r="H872" s="2"/>
    </row>
    <row r="873">
      <c r="F873" s="1"/>
      <c r="G873" s="2"/>
      <c r="H873" s="2"/>
    </row>
    <row r="874">
      <c r="F874" s="1"/>
      <c r="G874" s="2"/>
      <c r="H874" s="2"/>
    </row>
    <row r="875">
      <c r="F875" s="1"/>
      <c r="G875" s="2"/>
      <c r="H875" s="2"/>
    </row>
    <row r="876">
      <c r="F876" s="1"/>
      <c r="G876" s="2"/>
      <c r="H876" s="2"/>
    </row>
    <row r="877">
      <c r="F877" s="1"/>
      <c r="G877" s="2"/>
      <c r="H877" s="2"/>
    </row>
    <row r="878">
      <c r="F878" s="1"/>
      <c r="G878" s="2"/>
      <c r="H878" s="2"/>
    </row>
    <row r="879">
      <c r="F879" s="1"/>
      <c r="G879" s="2"/>
      <c r="H879" s="2"/>
    </row>
    <row r="880">
      <c r="F880" s="1"/>
      <c r="G880" s="2"/>
      <c r="H880" s="2"/>
    </row>
    <row r="881">
      <c r="F881" s="1"/>
      <c r="G881" s="2"/>
      <c r="H881" s="2"/>
    </row>
    <row r="882">
      <c r="F882" s="1"/>
      <c r="G882" s="2"/>
      <c r="H882" s="2"/>
    </row>
    <row r="883">
      <c r="F883" s="1"/>
      <c r="G883" s="2"/>
      <c r="H883" s="2"/>
    </row>
    <row r="884">
      <c r="F884" s="1"/>
      <c r="G884" s="2"/>
      <c r="H884" s="2"/>
    </row>
    <row r="885">
      <c r="F885" s="1"/>
      <c r="G885" s="2"/>
      <c r="H885" s="2"/>
    </row>
    <row r="886">
      <c r="F886" s="1"/>
      <c r="G886" s="2"/>
      <c r="H886" s="2"/>
    </row>
    <row r="887">
      <c r="F887" s="1"/>
      <c r="G887" s="2"/>
      <c r="H887" s="2"/>
    </row>
    <row r="888">
      <c r="F888" s="1"/>
      <c r="G888" s="2"/>
      <c r="H888" s="2"/>
    </row>
    <row r="889">
      <c r="F889" s="1"/>
      <c r="G889" s="2"/>
      <c r="H889" s="2"/>
    </row>
    <row r="890">
      <c r="F890" s="1"/>
      <c r="G890" s="2"/>
      <c r="H890" s="2"/>
    </row>
    <row r="891">
      <c r="F891" s="1"/>
      <c r="G891" s="2"/>
      <c r="H891" s="2"/>
    </row>
    <row r="892">
      <c r="F892" s="1"/>
      <c r="G892" s="2"/>
      <c r="H892" s="2"/>
    </row>
    <row r="893">
      <c r="F893" s="1"/>
      <c r="G893" s="2"/>
      <c r="H893" s="2"/>
    </row>
    <row r="894">
      <c r="F894" s="1"/>
      <c r="G894" s="2"/>
      <c r="H894" s="2"/>
    </row>
    <row r="895">
      <c r="F895" s="1"/>
      <c r="G895" s="2"/>
      <c r="H895" s="2"/>
    </row>
    <row r="896">
      <c r="F896" s="1"/>
      <c r="G896" s="2"/>
      <c r="H896" s="2"/>
    </row>
    <row r="897">
      <c r="F897" s="1"/>
      <c r="G897" s="2"/>
      <c r="H897" s="2"/>
    </row>
    <row r="898">
      <c r="F898" s="1"/>
      <c r="G898" s="2"/>
      <c r="H898" s="2"/>
    </row>
    <row r="899">
      <c r="F899" s="1"/>
      <c r="G899" s="2"/>
      <c r="H899" s="2"/>
    </row>
    <row r="900">
      <c r="F900" s="1"/>
      <c r="G900" s="2"/>
      <c r="H900" s="2"/>
    </row>
    <row r="901">
      <c r="F901" s="1"/>
      <c r="G901" s="2"/>
      <c r="H901" s="2"/>
    </row>
    <row r="902">
      <c r="F902" s="1"/>
      <c r="G902" s="2"/>
      <c r="H902" s="2"/>
    </row>
    <row r="903">
      <c r="F903" s="1"/>
      <c r="G903" s="2"/>
      <c r="H903" s="2"/>
    </row>
    <row r="904">
      <c r="F904" s="1"/>
      <c r="G904" s="2"/>
      <c r="H904" s="2"/>
    </row>
    <row r="905">
      <c r="F905" s="1"/>
      <c r="G905" s="2"/>
      <c r="H905" s="2"/>
    </row>
    <row r="906">
      <c r="F906" s="1"/>
      <c r="G906" s="2"/>
      <c r="H906" s="2"/>
    </row>
    <row r="907">
      <c r="F907" s="1"/>
      <c r="G907" s="2"/>
      <c r="H907" s="2"/>
    </row>
    <row r="908">
      <c r="F908" s="1"/>
      <c r="G908" s="2"/>
      <c r="H908" s="2"/>
    </row>
    <row r="909">
      <c r="F909" s="1"/>
      <c r="G909" s="2"/>
      <c r="H909" s="2"/>
    </row>
    <row r="910">
      <c r="F910" s="1"/>
      <c r="G910" s="2"/>
      <c r="H910" s="2"/>
    </row>
    <row r="911">
      <c r="F911" s="1"/>
      <c r="G911" s="2"/>
      <c r="H911" s="2"/>
    </row>
    <row r="912">
      <c r="F912" s="1"/>
      <c r="G912" s="2"/>
      <c r="H912" s="2"/>
    </row>
    <row r="913">
      <c r="F913" s="1"/>
      <c r="G913" s="2"/>
      <c r="H913" s="2"/>
    </row>
    <row r="914">
      <c r="F914" s="1"/>
      <c r="G914" s="2"/>
      <c r="H914" s="2"/>
    </row>
    <row r="915">
      <c r="F915" s="1"/>
      <c r="G915" s="2"/>
      <c r="H915" s="2"/>
    </row>
    <row r="916">
      <c r="F916" s="1"/>
      <c r="G916" s="2"/>
      <c r="H916" s="2"/>
    </row>
    <row r="917">
      <c r="F917" s="1"/>
      <c r="G917" s="2"/>
      <c r="H917" s="2"/>
    </row>
    <row r="918">
      <c r="F918" s="1"/>
      <c r="G918" s="2"/>
      <c r="H918" s="2"/>
    </row>
    <row r="919">
      <c r="F919" s="1"/>
      <c r="G919" s="2"/>
      <c r="H919" s="2"/>
    </row>
    <row r="920">
      <c r="F920" s="1"/>
      <c r="G920" s="2"/>
      <c r="H920" s="2"/>
    </row>
    <row r="921">
      <c r="F921" s="1"/>
      <c r="G921" s="2"/>
      <c r="H921" s="2"/>
    </row>
    <row r="922">
      <c r="F922" s="1"/>
      <c r="G922" s="2"/>
      <c r="H922" s="2"/>
    </row>
    <row r="923">
      <c r="F923" s="1"/>
      <c r="G923" s="2"/>
      <c r="H923" s="2"/>
    </row>
    <row r="924">
      <c r="F924" s="1"/>
      <c r="G924" s="2"/>
      <c r="H924" s="2"/>
    </row>
    <row r="925">
      <c r="F925" s="1"/>
      <c r="G925" s="2"/>
      <c r="H925" s="2"/>
    </row>
    <row r="926">
      <c r="F926" s="1"/>
      <c r="G926" s="2"/>
      <c r="H926" s="2"/>
    </row>
    <row r="927">
      <c r="F927" s="1"/>
      <c r="G927" s="2"/>
      <c r="H927" s="2"/>
    </row>
    <row r="928">
      <c r="F928" s="1"/>
      <c r="G928" s="2"/>
      <c r="H928" s="2"/>
    </row>
    <row r="929">
      <c r="F929" s="1"/>
      <c r="G929" s="2"/>
      <c r="H929" s="2"/>
    </row>
    <row r="930">
      <c r="F930" s="1"/>
      <c r="G930" s="2"/>
      <c r="H930" s="2"/>
    </row>
    <row r="931">
      <c r="F931" s="1"/>
      <c r="G931" s="2"/>
      <c r="H931" s="2"/>
    </row>
    <row r="932">
      <c r="F932" s="1"/>
      <c r="G932" s="2"/>
      <c r="H932" s="2"/>
    </row>
    <row r="933">
      <c r="F933" s="1"/>
      <c r="G933" s="2"/>
      <c r="H933" s="2"/>
    </row>
    <row r="934">
      <c r="F934" s="1"/>
      <c r="G934" s="2"/>
      <c r="H934" s="2"/>
    </row>
    <row r="935">
      <c r="F935" s="1"/>
      <c r="G935" s="2"/>
      <c r="H935" s="2"/>
    </row>
    <row r="936">
      <c r="F936" s="1"/>
      <c r="G936" s="2"/>
      <c r="H936" s="2"/>
    </row>
    <row r="937">
      <c r="F937" s="1"/>
      <c r="G937" s="2"/>
      <c r="H937" s="2"/>
    </row>
    <row r="938">
      <c r="F938" s="1"/>
      <c r="G938" s="2"/>
      <c r="H938" s="2"/>
    </row>
    <row r="939">
      <c r="F939" s="1"/>
      <c r="G939" s="2"/>
      <c r="H939" s="2"/>
    </row>
    <row r="940">
      <c r="F940" s="1"/>
      <c r="G940" s="2"/>
      <c r="H940" s="2"/>
    </row>
    <row r="941">
      <c r="F941" s="1"/>
      <c r="G941" s="2"/>
      <c r="H941" s="2"/>
    </row>
    <row r="942">
      <c r="F942" s="1"/>
      <c r="G942" s="2"/>
      <c r="H942" s="2"/>
    </row>
    <row r="943">
      <c r="F943" s="1"/>
      <c r="G943" s="2"/>
      <c r="H943" s="2"/>
    </row>
    <row r="944">
      <c r="F944" s="1"/>
      <c r="G944" s="2"/>
      <c r="H944" s="2"/>
    </row>
    <row r="945">
      <c r="F945" s="1"/>
      <c r="G945" s="2"/>
      <c r="H945" s="2"/>
    </row>
    <row r="946">
      <c r="F946" s="1"/>
      <c r="G946" s="2"/>
      <c r="H946" s="2"/>
    </row>
    <row r="947">
      <c r="F947" s="1"/>
      <c r="G947" s="2"/>
      <c r="H947" s="2"/>
    </row>
    <row r="948">
      <c r="F948" s="1"/>
      <c r="G948" s="2"/>
      <c r="H948" s="2"/>
    </row>
    <row r="949">
      <c r="F949" s="1"/>
      <c r="G949" s="2"/>
      <c r="H949" s="2"/>
    </row>
    <row r="950">
      <c r="F950" s="1"/>
      <c r="G950" s="2"/>
      <c r="H950" s="2"/>
    </row>
    <row r="951">
      <c r="F951" s="1"/>
      <c r="G951" s="2"/>
      <c r="H951" s="2"/>
    </row>
    <row r="952">
      <c r="F952" s="1"/>
      <c r="G952" s="2"/>
      <c r="H952" s="2"/>
    </row>
    <row r="953">
      <c r="F953" s="1"/>
      <c r="G953" s="2"/>
      <c r="H953" s="2"/>
    </row>
    <row r="954">
      <c r="F954" s="1"/>
      <c r="G954" s="2"/>
      <c r="H954" s="2"/>
    </row>
    <row r="955">
      <c r="F955" s="1"/>
      <c r="G955" s="2"/>
      <c r="H955" s="2"/>
    </row>
    <row r="956">
      <c r="F956" s="1"/>
      <c r="G956" s="2"/>
      <c r="H956" s="2"/>
    </row>
    <row r="957">
      <c r="F957" s="1"/>
      <c r="G957" s="2"/>
      <c r="H957" s="2"/>
    </row>
    <row r="958">
      <c r="F958" s="1"/>
      <c r="G958" s="2"/>
      <c r="H958" s="2"/>
    </row>
    <row r="959">
      <c r="F959" s="1"/>
      <c r="G959" s="2"/>
      <c r="H959" s="2"/>
    </row>
    <row r="960">
      <c r="F960" s="1"/>
      <c r="G960" s="2"/>
      <c r="H960" s="2"/>
    </row>
    <row r="961">
      <c r="F961" s="1"/>
      <c r="G961" s="2"/>
      <c r="H961" s="2"/>
    </row>
    <row r="962">
      <c r="F962" s="1"/>
      <c r="G962" s="2"/>
      <c r="H962" s="2"/>
    </row>
    <row r="963">
      <c r="F963" s="1"/>
      <c r="G963" s="2"/>
      <c r="H963" s="2"/>
    </row>
    <row r="964">
      <c r="F964" s="1"/>
      <c r="G964" s="2"/>
      <c r="H964" s="2"/>
    </row>
    <row r="965">
      <c r="F965" s="1"/>
      <c r="G965" s="2"/>
      <c r="H965" s="2"/>
    </row>
    <row r="966">
      <c r="F966" s="1"/>
      <c r="G966" s="2"/>
      <c r="H966" s="2"/>
    </row>
    <row r="967">
      <c r="F967" s="1"/>
      <c r="G967" s="2"/>
      <c r="H967" s="2"/>
    </row>
  </sheetData>
  <mergeCells count="11">
    <mergeCell ref="B26:H26"/>
    <mergeCell ref="B67:H67"/>
    <mergeCell ref="B90:H90"/>
    <mergeCell ref="B115:H115"/>
    <mergeCell ref="B4:C4"/>
    <mergeCell ref="G14:G16"/>
    <mergeCell ref="H14:H16"/>
    <mergeCell ref="G18:G19"/>
    <mergeCell ref="H18:H19"/>
    <mergeCell ref="G21:G22"/>
    <mergeCell ref="H21:H22"/>
  </mergeCells>
  <hyperlinks>
    <hyperlink r:id="rId4" ref="B14"/>
    <hyperlink r:id="rId5" ref="B15"/>
    <hyperlink r:id="rId6" ref="B16"/>
    <hyperlink r:id="rId7" ref="B17"/>
    <hyperlink r:id="rId8" ref="B18"/>
    <hyperlink r:id="rId9" ref="B19"/>
    <hyperlink r:id="rId10" ref="B20"/>
    <hyperlink r:id="rId11" ref="B21"/>
    <hyperlink r:id="rId12" ref="B22"/>
  </hyperlinks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0"/>
    <col customWidth="1" min="3" max="3" width="24.25"/>
    <col customWidth="1" min="4" max="4" width="22.75"/>
    <col customWidth="1" min="5" max="5" width="10.5"/>
    <col customWidth="1" min="6" max="6" width="11.75"/>
    <col customWidth="1" min="7" max="7" width="20.13"/>
    <col customWidth="1" min="8" max="8" width="23.88"/>
    <col customWidth="1" min="9" max="9" width="33.75"/>
  </cols>
  <sheetData>
    <row r="1">
      <c r="G1" s="2"/>
      <c r="H1" s="2"/>
    </row>
    <row r="2">
      <c r="B2" s="3" t="s">
        <v>0</v>
      </c>
      <c r="C2" s="3"/>
      <c r="D2" s="3" t="s">
        <v>1</v>
      </c>
    </row>
    <row r="3">
      <c r="B3" s="3" t="s">
        <v>2</v>
      </c>
      <c r="C3" s="3"/>
      <c r="D3" s="3" t="s">
        <v>3</v>
      </c>
    </row>
    <row r="4">
      <c r="B4" s="4" t="s">
        <v>4</v>
      </c>
      <c r="C4" s="55"/>
      <c r="D4" s="5"/>
    </row>
    <row r="5">
      <c r="B5" s="3" t="s">
        <v>5</v>
      </c>
      <c r="C5" s="3"/>
      <c r="D5" s="3" t="s">
        <v>6</v>
      </c>
    </row>
    <row r="6">
      <c r="B6" s="3" t="s">
        <v>7</v>
      </c>
      <c r="C6" s="3"/>
      <c r="D6" s="3" t="s">
        <v>8</v>
      </c>
    </row>
    <row r="7">
      <c r="B7" s="3" t="s">
        <v>9</v>
      </c>
      <c r="C7" s="3"/>
      <c r="D7" s="3" t="s">
        <v>10</v>
      </c>
    </row>
    <row r="8">
      <c r="B8" s="3" t="s">
        <v>11</v>
      </c>
      <c r="C8" s="3"/>
      <c r="D8" s="3" t="s">
        <v>12</v>
      </c>
    </row>
    <row r="9">
      <c r="B9" s="3" t="s">
        <v>13</v>
      </c>
      <c r="C9" s="3"/>
      <c r="D9" s="3" t="s">
        <v>14</v>
      </c>
      <c r="G9" s="2"/>
      <c r="H9" s="2"/>
    </row>
    <row r="10">
      <c r="A10" s="6"/>
      <c r="B10" s="3" t="s">
        <v>15</v>
      </c>
      <c r="C10" s="3"/>
      <c r="D10" s="3" t="s">
        <v>16</v>
      </c>
      <c r="E10" s="6"/>
      <c r="F10" s="6"/>
      <c r="G10" s="8"/>
      <c r="H10" s="8"/>
    </row>
    <row r="11">
      <c r="A11" s="9"/>
    </row>
    <row r="12">
      <c r="A12" s="6"/>
    </row>
    <row r="13">
      <c r="A13" s="6"/>
      <c r="B13" s="10" t="s">
        <v>56</v>
      </c>
      <c r="C13" s="10" t="s">
        <v>57</v>
      </c>
      <c r="D13" s="10" t="s">
        <v>18</v>
      </c>
      <c r="E13" s="10" t="s">
        <v>19</v>
      </c>
      <c r="F13" s="10" t="s">
        <v>20</v>
      </c>
      <c r="G13" s="11" t="s">
        <v>22</v>
      </c>
      <c r="H13" s="11" t="s">
        <v>23</v>
      </c>
    </row>
    <row r="14">
      <c r="A14" s="12"/>
      <c r="B14" s="56" t="s">
        <v>58</v>
      </c>
      <c r="C14" s="57" t="s">
        <v>59</v>
      </c>
      <c r="D14" s="57" t="s">
        <v>26</v>
      </c>
      <c r="E14" s="57">
        <v>1.0</v>
      </c>
      <c r="F14" s="58">
        <v>5.99</v>
      </c>
      <c r="G14" s="18">
        <f>sum(F14:F18)*0.1</f>
        <v>3.535</v>
      </c>
      <c r="H14" s="19">
        <f>sum(F14:F18)+G14</f>
        <v>38.885</v>
      </c>
      <c r="I14" s="21"/>
    </row>
    <row r="15">
      <c r="A15" s="22"/>
      <c r="B15" s="56" t="s">
        <v>60</v>
      </c>
      <c r="C15" s="57" t="s">
        <v>61</v>
      </c>
      <c r="D15" s="57" t="s">
        <v>26</v>
      </c>
      <c r="E15" s="57">
        <v>1.0</v>
      </c>
      <c r="F15" s="58">
        <v>7.39</v>
      </c>
      <c r="G15" s="24"/>
      <c r="H15" s="24"/>
      <c r="I15" s="21"/>
    </row>
    <row r="16">
      <c r="A16" s="22"/>
      <c r="B16" s="56" t="s">
        <v>62</v>
      </c>
      <c r="C16" s="57" t="s">
        <v>63</v>
      </c>
      <c r="D16" s="57" t="s">
        <v>26</v>
      </c>
      <c r="E16" s="57">
        <v>1.0</v>
      </c>
      <c r="F16" s="58">
        <v>9.99</v>
      </c>
      <c r="G16" s="24"/>
      <c r="H16" s="24"/>
      <c r="I16" s="21"/>
    </row>
    <row r="17">
      <c r="A17" s="6"/>
      <c r="B17" s="59" t="s">
        <v>64</v>
      </c>
      <c r="C17" s="25" t="s">
        <v>65</v>
      </c>
      <c r="D17" s="25" t="s">
        <v>26</v>
      </c>
      <c r="E17" s="25">
        <v>1.0</v>
      </c>
      <c r="F17" s="26">
        <v>5.99</v>
      </c>
      <c r="G17" s="24"/>
      <c r="H17" s="24"/>
      <c r="I17" s="21"/>
    </row>
    <row r="18">
      <c r="A18" s="6"/>
      <c r="B18" s="59" t="s">
        <v>66</v>
      </c>
      <c r="C18" s="25" t="s">
        <v>67</v>
      </c>
      <c r="D18" s="25" t="s">
        <v>26</v>
      </c>
      <c r="E18" s="25">
        <v>1.0</v>
      </c>
      <c r="F18" s="26">
        <v>5.99</v>
      </c>
      <c r="G18" s="28"/>
      <c r="H18" s="28"/>
      <c r="I18" s="21"/>
    </row>
    <row r="19">
      <c r="A19" s="6"/>
      <c r="B19" s="59" t="s">
        <v>36</v>
      </c>
      <c r="C19" s="25" t="s">
        <v>68</v>
      </c>
      <c r="D19" s="25" t="s">
        <v>34</v>
      </c>
      <c r="E19" s="25">
        <v>2.0</v>
      </c>
      <c r="F19" s="26">
        <v>45.4</v>
      </c>
      <c r="G19" s="60">
        <v>19.58</v>
      </c>
      <c r="H19" s="61">
        <f>F19*E19+G19</f>
        <v>110.38</v>
      </c>
    </row>
    <row r="20">
      <c r="A20" s="6"/>
      <c r="B20" s="59" t="s">
        <v>38</v>
      </c>
      <c r="C20" s="25" t="s">
        <v>39</v>
      </c>
      <c r="D20" s="25" t="s">
        <v>69</v>
      </c>
      <c r="E20" s="25">
        <v>8.0</v>
      </c>
      <c r="F20" s="26">
        <v>11.39</v>
      </c>
      <c r="G20" s="26">
        <f>12.87+8.55</f>
        <v>21.42</v>
      </c>
      <c r="H20" s="27">
        <f>E20*F20+G20</f>
        <v>112.54</v>
      </c>
    </row>
    <row r="21">
      <c r="A21" s="6"/>
      <c r="B21" s="59" t="s">
        <v>41</v>
      </c>
      <c r="C21" s="25" t="s">
        <v>70</v>
      </c>
      <c r="D21" s="25" t="s">
        <v>42</v>
      </c>
      <c r="E21" s="25">
        <v>1.0</v>
      </c>
      <c r="F21" s="26">
        <v>13.95</v>
      </c>
      <c r="G21" s="18">
        <f>7.79 + 2.09 + 2.62</f>
        <v>12.5</v>
      </c>
      <c r="H21" s="19">
        <f>F21+F22+G21</f>
        <v>30.4</v>
      </c>
    </row>
    <row r="22">
      <c r="A22" s="6"/>
      <c r="B22" s="59" t="s">
        <v>43</v>
      </c>
      <c r="C22" s="25" t="s">
        <v>71</v>
      </c>
      <c r="D22" s="25" t="s">
        <v>42</v>
      </c>
      <c r="E22" s="25">
        <v>1.0</v>
      </c>
      <c r="F22" s="26">
        <v>3.95</v>
      </c>
      <c r="G22" s="28"/>
      <c r="H22" s="28"/>
    </row>
    <row r="23">
      <c r="A23" s="6"/>
      <c r="B23" s="62" t="s">
        <v>72</v>
      </c>
      <c r="C23" s="25" t="s">
        <v>73</v>
      </c>
      <c r="D23" s="25" t="s">
        <v>72</v>
      </c>
      <c r="E23" s="25">
        <v>5.0</v>
      </c>
      <c r="F23" s="25" t="s">
        <v>74</v>
      </c>
      <c r="G23" s="25" t="s">
        <v>74</v>
      </c>
      <c r="H23" s="25" t="s">
        <v>74</v>
      </c>
    </row>
    <row r="24">
      <c r="A24" s="6"/>
      <c r="B24" s="62" t="s">
        <v>72</v>
      </c>
      <c r="C24" s="25" t="s">
        <v>75</v>
      </c>
      <c r="D24" s="25" t="s">
        <v>72</v>
      </c>
      <c r="E24" s="25">
        <v>2.0</v>
      </c>
      <c r="F24" s="25" t="s">
        <v>74</v>
      </c>
      <c r="G24" s="25" t="s">
        <v>74</v>
      </c>
      <c r="H24" s="25" t="s">
        <v>74</v>
      </c>
    </row>
    <row r="25">
      <c r="A25" s="6"/>
      <c r="B25" s="62" t="s">
        <v>72</v>
      </c>
      <c r="C25" s="25" t="s">
        <v>76</v>
      </c>
      <c r="D25" s="25" t="s">
        <v>72</v>
      </c>
      <c r="E25" s="25">
        <v>1.0</v>
      </c>
      <c r="F25" s="25" t="s">
        <v>74</v>
      </c>
      <c r="G25" s="25" t="s">
        <v>74</v>
      </c>
      <c r="H25" s="25" t="s">
        <v>74</v>
      </c>
    </row>
    <row r="26">
      <c r="B26" s="3" t="s">
        <v>72</v>
      </c>
      <c r="C26" s="25" t="s">
        <v>77</v>
      </c>
      <c r="D26" s="25" t="s">
        <v>72</v>
      </c>
      <c r="E26" s="25">
        <v>1.0</v>
      </c>
      <c r="F26" s="25" t="s">
        <v>74</v>
      </c>
      <c r="G26" s="63" t="s">
        <v>74</v>
      </c>
      <c r="H26" s="63" t="s">
        <v>74</v>
      </c>
    </row>
    <row r="27">
      <c r="B27" s="13" t="s">
        <v>78</v>
      </c>
      <c r="C27" s="25" t="s">
        <v>79</v>
      </c>
      <c r="D27" s="25" t="s">
        <v>80</v>
      </c>
      <c r="E27" s="25">
        <v>1.0</v>
      </c>
      <c r="F27" s="26">
        <v>6.28</v>
      </c>
      <c r="G27" s="63">
        <f>F27*0.1</f>
        <v>0.628</v>
      </c>
      <c r="H27" s="64">
        <f>G27+F27</f>
        <v>6.908</v>
      </c>
    </row>
    <row r="28">
      <c r="A28" s="65"/>
      <c r="B28" s="66" t="s">
        <v>81</v>
      </c>
      <c r="C28" s="67" t="s">
        <v>82</v>
      </c>
      <c r="D28" s="67" t="s">
        <v>26</v>
      </c>
      <c r="E28" s="67">
        <v>1.0</v>
      </c>
      <c r="F28" s="60">
        <v>5.99</v>
      </c>
      <c r="G28" s="18">
        <v>0.0</v>
      </c>
      <c r="H28" s="19">
        <f>sum(F28:F31)</f>
        <v>27.66</v>
      </c>
    </row>
    <row r="29">
      <c r="A29" s="65"/>
      <c r="B29" s="66" t="s">
        <v>83</v>
      </c>
      <c r="C29" s="67" t="s">
        <v>84</v>
      </c>
      <c r="D29" s="67" t="s">
        <v>26</v>
      </c>
      <c r="E29" s="67">
        <v>1.0</v>
      </c>
      <c r="F29" s="60">
        <v>8.49</v>
      </c>
      <c r="G29" s="24"/>
      <c r="H29" s="24"/>
    </row>
    <row r="30">
      <c r="A30" s="65"/>
      <c r="B30" s="66" t="s">
        <v>85</v>
      </c>
      <c r="C30" s="67" t="s">
        <v>86</v>
      </c>
      <c r="D30" s="67" t="s">
        <v>26</v>
      </c>
      <c r="E30" s="67">
        <v>1.0</v>
      </c>
      <c r="F30" s="60">
        <v>7.59</v>
      </c>
      <c r="G30" s="24"/>
      <c r="H30" s="24"/>
    </row>
    <row r="31">
      <c r="A31" s="65"/>
      <c r="B31" s="66" t="s">
        <v>87</v>
      </c>
      <c r="C31" s="67" t="s">
        <v>88</v>
      </c>
      <c r="D31" s="67" t="s">
        <v>26</v>
      </c>
      <c r="E31" s="67">
        <v>1.0</v>
      </c>
      <c r="F31" s="60">
        <v>5.59</v>
      </c>
      <c r="G31" s="28"/>
      <c r="H31" s="28"/>
    </row>
    <row r="32">
      <c r="A32" s="65"/>
      <c r="B32" s="65"/>
      <c r="G32" s="68" t="s">
        <v>45</v>
      </c>
      <c r="H32" s="69">
        <f>sum(H14:H31)</f>
        <v>326.773</v>
      </c>
    </row>
    <row r="33">
      <c r="A33" s="65"/>
      <c r="B33" s="65"/>
    </row>
    <row r="34">
      <c r="A34" s="65"/>
      <c r="B34" s="65"/>
      <c r="G34" s="2"/>
      <c r="H34" s="2"/>
    </row>
    <row r="35">
      <c r="A35" s="65"/>
      <c r="B35" s="65"/>
      <c r="G35" s="2"/>
      <c r="H35" s="2"/>
    </row>
    <row r="36">
      <c r="G36" s="2"/>
      <c r="H36" s="2"/>
    </row>
    <row r="37">
      <c r="G37" s="2"/>
      <c r="H37" s="2"/>
    </row>
    <row r="38">
      <c r="G38" s="2"/>
      <c r="H38" s="2"/>
    </row>
    <row r="39">
      <c r="G39" s="2"/>
      <c r="H39" s="2"/>
    </row>
    <row r="40">
      <c r="G40" s="2"/>
      <c r="H40" s="2"/>
    </row>
    <row r="41">
      <c r="G41" s="2"/>
      <c r="H41" s="2"/>
    </row>
    <row r="42">
      <c r="G42" s="2"/>
      <c r="H42" s="2"/>
    </row>
    <row r="43">
      <c r="G43" s="2"/>
      <c r="H43" s="2"/>
    </row>
    <row r="44">
      <c r="G44" s="2"/>
      <c r="H44" s="2"/>
    </row>
    <row r="45">
      <c r="G45" s="2"/>
      <c r="H45" s="2"/>
    </row>
    <row r="46">
      <c r="G46" s="2"/>
      <c r="H46" s="2"/>
    </row>
    <row r="47">
      <c r="G47" s="2"/>
      <c r="H47" s="2"/>
    </row>
    <row r="48">
      <c r="G48" s="2"/>
      <c r="H48" s="2"/>
    </row>
    <row r="49">
      <c r="G49" s="2"/>
      <c r="H49" s="2"/>
    </row>
    <row r="50">
      <c r="G50" s="2"/>
      <c r="H50" s="2"/>
    </row>
    <row r="51">
      <c r="G51" s="2"/>
      <c r="H51" s="2"/>
    </row>
    <row r="52">
      <c r="G52" s="2"/>
      <c r="H52" s="2"/>
    </row>
    <row r="53">
      <c r="G53" s="2"/>
      <c r="H53" s="2"/>
    </row>
    <row r="54">
      <c r="G54" s="2"/>
      <c r="H54" s="2"/>
    </row>
    <row r="55">
      <c r="G55" s="2"/>
      <c r="H55" s="2"/>
    </row>
    <row r="56">
      <c r="G56" s="2"/>
      <c r="H56" s="2"/>
    </row>
    <row r="57">
      <c r="G57" s="2"/>
      <c r="H57" s="2"/>
    </row>
    <row r="58">
      <c r="G58" s="2"/>
      <c r="H58" s="2"/>
    </row>
    <row r="59">
      <c r="G59" s="2"/>
      <c r="H59" s="2"/>
    </row>
    <row r="60">
      <c r="G60" s="2"/>
      <c r="H60" s="2"/>
    </row>
    <row r="61">
      <c r="G61" s="2"/>
      <c r="H61" s="2"/>
    </row>
    <row r="62">
      <c r="G62" s="2"/>
      <c r="H62" s="2"/>
    </row>
    <row r="63">
      <c r="G63" s="2"/>
      <c r="H63" s="2"/>
    </row>
    <row r="64">
      <c r="G64" s="2"/>
      <c r="H64" s="2"/>
    </row>
    <row r="65">
      <c r="G65" s="2"/>
      <c r="H65" s="2"/>
    </row>
    <row r="66">
      <c r="G66" s="2"/>
      <c r="H66" s="2"/>
    </row>
    <row r="67">
      <c r="G67" s="2"/>
      <c r="H67" s="2"/>
    </row>
    <row r="68">
      <c r="G68" s="2"/>
      <c r="H68" s="2"/>
    </row>
    <row r="69">
      <c r="G69" s="2"/>
      <c r="H69" s="2"/>
    </row>
    <row r="70">
      <c r="G70" s="2"/>
      <c r="H70" s="2"/>
    </row>
    <row r="71">
      <c r="G71" s="2"/>
      <c r="H71" s="2"/>
    </row>
    <row r="72">
      <c r="G72" s="2"/>
      <c r="H72" s="2"/>
    </row>
    <row r="73">
      <c r="G73" s="2"/>
      <c r="H73" s="2"/>
    </row>
    <row r="74">
      <c r="G74" s="2"/>
      <c r="H74" s="2"/>
    </row>
    <row r="75">
      <c r="G75" s="2"/>
      <c r="H75" s="2"/>
    </row>
    <row r="76">
      <c r="G76" s="2"/>
      <c r="H76" s="2"/>
    </row>
    <row r="77">
      <c r="G77" s="2"/>
      <c r="H77" s="2"/>
    </row>
    <row r="78">
      <c r="G78" s="2"/>
      <c r="H78" s="2"/>
    </row>
    <row r="79">
      <c r="G79" s="2"/>
      <c r="H79" s="2"/>
    </row>
    <row r="80">
      <c r="G80" s="2"/>
      <c r="H80" s="2"/>
    </row>
    <row r="81">
      <c r="G81" s="2"/>
      <c r="H81" s="2"/>
    </row>
    <row r="82">
      <c r="G82" s="2"/>
      <c r="H82" s="2"/>
    </row>
    <row r="83">
      <c r="G83" s="2"/>
      <c r="H83" s="2"/>
    </row>
    <row r="84">
      <c r="G84" s="2"/>
      <c r="H84" s="2"/>
    </row>
    <row r="85">
      <c r="G85" s="2"/>
      <c r="H85" s="2"/>
    </row>
    <row r="86">
      <c r="G86" s="2"/>
      <c r="H86" s="2"/>
    </row>
    <row r="87">
      <c r="G87" s="2"/>
      <c r="H87" s="2"/>
    </row>
    <row r="88">
      <c r="G88" s="2"/>
      <c r="H88" s="2"/>
    </row>
    <row r="89">
      <c r="G89" s="2"/>
      <c r="H89" s="2"/>
    </row>
    <row r="90">
      <c r="G90" s="2"/>
      <c r="H90" s="2"/>
    </row>
    <row r="91">
      <c r="G91" s="2"/>
      <c r="H91" s="2"/>
    </row>
    <row r="92">
      <c r="G92" s="2"/>
      <c r="H92" s="2"/>
    </row>
    <row r="93">
      <c r="G93" s="2"/>
      <c r="H93" s="2"/>
    </row>
    <row r="94">
      <c r="G94" s="2"/>
      <c r="H94" s="2"/>
    </row>
    <row r="95">
      <c r="G95" s="2"/>
      <c r="H95" s="2"/>
    </row>
    <row r="96">
      <c r="G96" s="2"/>
      <c r="H96" s="2"/>
    </row>
    <row r="97">
      <c r="G97" s="2"/>
      <c r="H97" s="2"/>
    </row>
    <row r="98">
      <c r="G98" s="2"/>
      <c r="H98" s="2"/>
    </row>
    <row r="99">
      <c r="G99" s="2"/>
      <c r="H99" s="2"/>
    </row>
    <row r="100">
      <c r="G100" s="2"/>
      <c r="H100" s="2"/>
    </row>
    <row r="101">
      <c r="G101" s="2"/>
      <c r="H101" s="2"/>
    </row>
    <row r="102">
      <c r="G102" s="2"/>
      <c r="H102" s="2"/>
    </row>
    <row r="103">
      <c r="G103" s="2"/>
      <c r="H103" s="2"/>
    </row>
    <row r="104">
      <c r="G104" s="2"/>
      <c r="H104" s="2"/>
    </row>
    <row r="105">
      <c r="G105" s="2"/>
      <c r="H105" s="2"/>
    </row>
    <row r="106">
      <c r="G106" s="2"/>
      <c r="H106" s="2"/>
    </row>
    <row r="107">
      <c r="G107" s="2"/>
      <c r="H107" s="2"/>
    </row>
    <row r="108">
      <c r="G108" s="2"/>
      <c r="H108" s="2"/>
    </row>
    <row r="109">
      <c r="G109" s="2"/>
      <c r="H109" s="2"/>
    </row>
    <row r="110">
      <c r="G110" s="2"/>
      <c r="H110" s="2"/>
    </row>
    <row r="111">
      <c r="G111" s="2"/>
      <c r="H111" s="2"/>
    </row>
    <row r="112">
      <c r="G112" s="2"/>
      <c r="H112" s="2"/>
    </row>
    <row r="113">
      <c r="G113" s="2"/>
      <c r="H113" s="2"/>
    </row>
    <row r="114">
      <c r="G114" s="2"/>
      <c r="H114" s="2"/>
    </row>
    <row r="115">
      <c r="G115" s="2"/>
      <c r="H115" s="2"/>
    </row>
    <row r="116">
      <c r="G116" s="2"/>
      <c r="H116" s="2"/>
    </row>
    <row r="117">
      <c r="G117" s="2"/>
      <c r="H117" s="2"/>
    </row>
    <row r="118">
      <c r="G118" s="2"/>
      <c r="H118" s="2"/>
    </row>
    <row r="119">
      <c r="G119" s="2"/>
      <c r="H119" s="2"/>
    </row>
    <row r="120">
      <c r="G120" s="2"/>
      <c r="H120" s="2"/>
    </row>
    <row r="121">
      <c r="G121" s="2"/>
      <c r="H121" s="2"/>
    </row>
    <row r="122">
      <c r="G122" s="2"/>
      <c r="H122" s="2"/>
    </row>
    <row r="123">
      <c r="G123" s="2"/>
      <c r="H123" s="2"/>
    </row>
    <row r="124">
      <c r="G124" s="2"/>
      <c r="H124" s="2"/>
    </row>
    <row r="125">
      <c r="G125" s="2"/>
      <c r="H125" s="2"/>
    </row>
    <row r="126">
      <c r="G126" s="2"/>
      <c r="H126" s="2"/>
    </row>
    <row r="127">
      <c r="G127" s="2"/>
      <c r="H127" s="2"/>
    </row>
    <row r="128">
      <c r="G128" s="2"/>
      <c r="H128" s="2"/>
    </row>
    <row r="129">
      <c r="G129" s="2"/>
      <c r="H129" s="2"/>
    </row>
    <row r="130">
      <c r="G130" s="2"/>
      <c r="H130" s="2"/>
    </row>
    <row r="131">
      <c r="G131" s="2"/>
      <c r="H131" s="2"/>
    </row>
    <row r="132">
      <c r="G132" s="2"/>
      <c r="H132" s="2"/>
    </row>
    <row r="133">
      <c r="G133" s="2"/>
      <c r="H133" s="2"/>
    </row>
    <row r="134">
      <c r="G134" s="2"/>
      <c r="H134" s="2"/>
    </row>
    <row r="135">
      <c r="G135" s="2"/>
      <c r="H135" s="2"/>
    </row>
    <row r="136">
      <c r="G136" s="2"/>
      <c r="H136" s="2"/>
    </row>
    <row r="137">
      <c r="G137" s="2"/>
      <c r="H137" s="2"/>
    </row>
    <row r="138">
      <c r="G138" s="2"/>
      <c r="H138" s="2"/>
    </row>
    <row r="139">
      <c r="G139" s="2"/>
      <c r="H139" s="2"/>
    </row>
    <row r="140">
      <c r="G140" s="2"/>
      <c r="H140" s="2"/>
    </row>
    <row r="141">
      <c r="G141" s="2"/>
      <c r="H141" s="2"/>
    </row>
    <row r="142">
      <c r="G142" s="2"/>
      <c r="H142" s="2"/>
    </row>
    <row r="143">
      <c r="G143" s="2"/>
      <c r="H143" s="2"/>
    </row>
    <row r="144">
      <c r="G144" s="2"/>
      <c r="H144" s="2"/>
    </row>
    <row r="145">
      <c r="G145" s="2"/>
      <c r="H145" s="2"/>
    </row>
    <row r="146">
      <c r="G146" s="2"/>
      <c r="H146" s="2"/>
    </row>
    <row r="147">
      <c r="G147" s="2"/>
      <c r="H147" s="2"/>
    </row>
    <row r="148">
      <c r="G148" s="2"/>
      <c r="H148" s="2"/>
    </row>
    <row r="149">
      <c r="G149" s="2"/>
      <c r="H149" s="2"/>
    </row>
    <row r="150">
      <c r="G150" s="2"/>
      <c r="H150" s="2"/>
    </row>
    <row r="151">
      <c r="G151" s="2"/>
      <c r="H151" s="2"/>
    </row>
    <row r="152">
      <c r="G152" s="2"/>
      <c r="H152" s="2"/>
    </row>
    <row r="153">
      <c r="G153" s="2"/>
      <c r="H153" s="2"/>
    </row>
    <row r="154">
      <c r="G154" s="2"/>
      <c r="H154" s="2"/>
    </row>
    <row r="155">
      <c r="G155" s="2"/>
      <c r="H155" s="2"/>
    </row>
    <row r="156">
      <c r="G156" s="2"/>
      <c r="H156" s="2"/>
    </row>
    <row r="157">
      <c r="G157" s="2"/>
      <c r="H157" s="2"/>
    </row>
    <row r="158">
      <c r="G158" s="2"/>
      <c r="H158" s="2"/>
    </row>
    <row r="159">
      <c r="G159" s="2"/>
      <c r="H159" s="2"/>
    </row>
    <row r="160">
      <c r="G160" s="2"/>
      <c r="H160" s="2"/>
    </row>
    <row r="161">
      <c r="G161" s="2"/>
      <c r="H161" s="2"/>
    </row>
    <row r="162">
      <c r="G162" s="2"/>
      <c r="H162" s="2"/>
    </row>
    <row r="163">
      <c r="G163" s="2"/>
      <c r="H163" s="2"/>
    </row>
    <row r="164">
      <c r="G164" s="2"/>
      <c r="H164" s="2"/>
    </row>
    <row r="165">
      <c r="G165" s="2"/>
      <c r="H165" s="2"/>
    </row>
    <row r="166">
      <c r="G166" s="2"/>
      <c r="H166" s="2"/>
    </row>
    <row r="167">
      <c r="G167" s="2"/>
      <c r="H167" s="2"/>
    </row>
    <row r="168">
      <c r="G168" s="2"/>
      <c r="H168" s="2"/>
    </row>
    <row r="169">
      <c r="G169" s="2"/>
      <c r="H169" s="2"/>
    </row>
    <row r="170">
      <c r="G170" s="2"/>
      <c r="H170" s="2"/>
    </row>
    <row r="171">
      <c r="G171" s="2"/>
      <c r="H171" s="2"/>
    </row>
    <row r="172">
      <c r="G172" s="2"/>
      <c r="H172" s="2"/>
    </row>
    <row r="173">
      <c r="G173" s="2"/>
      <c r="H173" s="2"/>
    </row>
    <row r="174">
      <c r="G174" s="2"/>
      <c r="H174" s="2"/>
    </row>
    <row r="175">
      <c r="G175" s="2"/>
      <c r="H175" s="2"/>
    </row>
    <row r="176">
      <c r="G176" s="2"/>
      <c r="H176" s="2"/>
    </row>
    <row r="177">
      <c r="G177" s="2"/>
      <c r="H177" s="2"/>
    </row>
    <row r="178">
      <c r="G178" s="2"/>
      <c r="H178" s="2"/>
    </row>
    <row r="179">
      <c r="G179" s="2"/>
      <c r="H179" s="2"/>
    </row>
    <row r="180">
      <c r="G180" s="2"/>
      <c r="H180" s="2"/>
    </row>
    <row r="181">
      <c r="G181" s="2"/>
      <c r="H181" s="2"/>
    </row>
    <row r="182">
      <c r="G182" s="2"/>
      <c r="H182" s="2"/>
    </row>
    <row r="183">
      <c r="G183" s="2"/>
      <c r="H183" s="2"/>
    </row>
    <row r="184">
      <c r="G184" s="2"/>
      <c r="H184" s="2"/>
    </row>
    <row r="185">
      <c r="G185" s="2"/>
      <c r="H185" s="2"/>
    </row>
    <row r="186">
      <c r="G186" s="2"/>
      <c r="H186" s="2"/>
    </row>
    <row r="187">
      <c r="G187" s="2"/>
      <c r="H187" s="2"/>
    </row>
    <row r="188">
      <c r="G188" s="2"/>
      <c r="H188" s="2"/>
    </row>
    <row r="189">
      <c r="G189" s="2"/>
      <c r="H189" s="2"/>
    </row>
    <row r="190">
      <c r="G190" s="2"/>
      <c r="H190" s="2"/>
    </row>
    <row r="191">
      <c r="G191" s="2"/>
      <c r="H191" s="2"/>
    </row>
    <row r="192">
      <c r="G192" s="2"/>
      <c r="H192" s="2"/>
    </row>
    <row r="193">
      <c r="G193" s="2"/>
      <c r="H193" s="2"/>
    </row>
    <row r="194">
      <c r="G194" s="2"/>
      <c r="H194" s="2"/>
    </row>
    <row r="195">
      <c r="G195" s="2"/>
      <c r="H195" s="2"/>
    </row>
    <row r="196">
      <c r="G196" s="2"/>
      <c r="H196" s="2"/>
    </row>
    <row r="197">
      <c r="G197" s="2"/>
      <c r="H197" s="2"/>
    </row>
    <row r="198">
      <c r="G198" s="2"/>
      <c r="H198" s="2"/>
    </row>
    <row r="199">
      <c r="G199" s="2"/>
      <c r="H199" s="2"/>
    </row>
    <row r="200">
      <c r="G200" s="2"/>
      <c r="H200" s="2"/>
    </row>
    <row r="201">
      <c r="G201" s="2"/>
      <c r="H201" s="2"/>
    </row>
    <row r="202">
      <c r="G202" s="2"/>
      <c r="H202" s="2"/>
    </row>
    <row r="203">
      <c r="G203" s="2"/>
      <c r="H203" s="2"/>
    </row>
    <row r="204">
      <c r="G204" s="2"/>
      <c r="H204" s="2"/>
    </row>
    <row r="205">
      <c r="G205" s="2"/>
      <c r="H205" s="2"/>
    </row>
    <row r="206">
      <c r="G206" s="2"/>
      <c r="H206" s="2"/>
    </row>
    <row r="207">
      <c r="G207" s="2"/>
      <c r="H207" s="2"/>
    </row>
    <row r="208">
      <c r="G208" s="2"/>
      <c r="H208" s="2"/>
    </row>
    <row r="209">
      <c r="G209" s="2"/>
      <c r="H209" s="2"/>
    </row>
    <row r="210">
      <c r="G210" s="2"/>
      <c r="H210" s="2"/>
    </row>
    <row r="211">
      <c r="G211" s="2"/>
      <c r="H211" s="2"/>
    </row>
    <row r="212">
      <c r="G212" s="2"/>
      <c r="H212" s="2"/>
    </row>
    <row r="213">
      <c r="G213" s="2"/>
      <c r="H213" s="2"/>
    </row>
    <row r="214">
      <c r="G214" s="2"/>
      <c r="H214" s="2"/>
    </row>
    <row r="215">
      <c r="G215" s="2"/>
      <c r="H215" s="2"/>
    </row>
    <row r="216">
      <c r="G216" s="2"/>
      <c r="H216" s="2"/>
    </row>
    <row r="217">
      <c r="G217" s="2"/>
      <c r="H217" s="2"/>
    </row>
    <row r="218">
      <c r="G218" s="2"/>
      <c r="H218" s="2"/>
    </row>
    <row r="219">
      <c r="G219" s="2"/>
      <c r="H219" s="2"/>
    </row>
    <row r="220">
      <c r="G220" s="2"/>
      <c r="H220" s="2"/>
    </row>
    <row r="221">
      <c r="G221" s="2"/>
      <c r="H221" s="2"/>
    </row>
    <row r="222">
      <c r="G222" s="2"/>
      <c r="H222" s="2"/>
    </row>
    <row r="223">
      <c r="G223" s="2"/>
      <c r="H223" s="2"/>
    </row>
    <row r="224">
      <c r="G224" s="2"/>
      <c r="H224" s="2"/>
    </row>
    <row r="225">
      <c r="G225" s="2"/>
      <c r="H225" s="2"/>
    </row>
    <row r="226">
      <c r="G226" s="2"/>
      <c r="H226" s="2"/>
    </row>
    <row r="227">
      <c r="G227" s="2"/>
      <c r="H227" s="2"/>
    </row>
    <row r="228">
      <c r="G228" s="2"/>
      <c r="H228" s="2"/>
    </row>
    <row r="229">
      <c r="G229" s="2"/>
      <c r="H229" s="2"/>
    </row>
    <row r="230">
      <c r="G230" s="2"/>
      <c r="H230" s="2"/>
    </row>
    <row r="231">
      <c r="G231" s="2"/>
      <c r="H231" s="2"/>
    </row>
    <row r="232">
      <c r="G232" s="2"/>
      <c r="H232" s="2"/>
    </row>
    <row r="233">
      <c r="G233" s="2"/>
      <c r="H233" s="2"/>
    </row>
    <row r="234">
      <c r="G234" s="2"/>
      <c r="H234" s="2"/>
    </row>
    <row r="235">
      <c r="G235" s="2"/>
      <c r="H235" s="2"/>
    </row>
    <row r="236">
      <c r="G236" s="2"/>
      <c r="H236" s="2"/>
    </row>
    <row r="237">
      <c r="G237" s="2"/>
      <c r="H237" s="2"/>
    </row>
    <row r="238">
      <c r="G238" s="2"/>
      <c r="H238" s="2"/>
    </row>
    <row r="239">
      <c r="G239" s="2"/>
      <c r="H239" s="2"/>
    </row>
    <row r="240">
      <c r="G240" s="2"/>
      <c r="H240" s="2"/>
    </row>
    <row r="241">
      <c r="G241" s="2"/>
      <c r="H241" s="2"/>
    </row>
    <row r="242">
      <c r="G242" s="2"/>
      <c r="H242" s="2"/>
    </row>
    <row r="243">
      <c r="G243" s="2"/>
      <c r="H243" s="2"/>
    </row>
    <row r="244">
      <c r="G244" s="2"/>
      <c r="H244" s="2"/>
    </row>
    <row r="245">
      <c r="G245" s="2"/>
      <c r="H245" s="2"/>
    </row>
    <row r="246">
      <c r="G246" s="2"/>
      <c r="H246" s="2"/>
    </row>
    <row r="247">
      <c r="G247" s="2"/>
      <c r="H247" s="2"/>
    </row>
    <row r="248">
      <c r="G248" s="2"/>
      <c r="H248" s="2"/>
    </row>
    <row r="249">
      <c r="G249" s="2"/>
      <c r="H249" s="2"/>
    </row>
    <row r="250">
      <c r="G250" s="2"/>
      <c r="H250" s="2"/>
    </row>
    <row r="251">
      <c r="G251" s="2"/>
      <c r="H251" s="2"/>
    </row>
    <row r="252">
      <c r="G252" s="2"/>
      <c r="H252" s="2"/>
    </row>
    <row r="253">
      <c r="G253" s="2"/>
      <c r="H253" s="2"/>
    </row>
    <row r="254">
      <c r="G254" s="2"/>
      <c r="H254" s="2"/>
    </row>
    <row r="255">
      <c r="G255" s="2"/>
      <c r="H255" s="2"/>
    </row>
    <row r="256">
      <c r="G256" s="2"/>
      <c r="H256" s="2"/>
    </row>
    <row r="257">
      <c r="G257" s="2"/>
      <c r="H257" s="2"/>
    </row>
    <row r="258">
      <c r="G258" s="2"/>
      <c r="H258" s="2"/>
    </row>
    <row r="259">
      <c r="G259" s="2"/>
      <c r="H259" s="2"/>
    </row>
    <row r="260">
      <c r="G260" s="2"/>
      <c r="H260" s="2"/>
    </row>
    <row r="261">
      <c r="G261" s="2"/>
      <c r="H261" s="2"/>
    </row>
    <row r="262">
      <c r="G262" s="2"/>
      <c r="H262" s="2"/>
    </row>
    <row r="263">
      <c r="G263" s="2"/>
      <c r="H263" s="2"/>
    </row>
    <row r="264">
      <c r="G264" s="2"/>
      <c r="H264" s="2"/>
    </row>
    <row r="265">
      <c r="G265" s="2"/>
      <c r="H265" s="2"/>
    </row>
    <row r="266">
      <c r="G266" s="2"/>
      <c r="H266" s="2"/>
    </row>
    <row r="267">
      <c r="G267" s="2"/>
      <c r="H267" s="2"/>
    </row>
    <row r="268">
      <c r="G268" s="2"/>
      <c r="H268" s="2"/>
    </row>
    <row r="269">
      <c r="G269" s="2"/>
      <c r="H269" s="2"/>
    </row>
    <row r="270">
      <c r="G270" s="2"/>
      <c r="H270" s="2"/>
    </row>
    <row r="271">
      <c r="G271" s="2"/>
      <c r="H271" s="2"/>
    </row>
    <row r="272">
      <c r="G272" s="2"/>
      <c r="H272" s="2"/>
    </row>
    <row r="273">
      <c r="G273" s="2"/>
      <c r="H273" s="2"/>
    </row>
    <row r="274">
      <c r="G274" s="2"/>
      <c r="H274" s="2"/>
    </row>
    <row r="275">
      <c r="G275" s="2"/>
      <c r="H275" s="2"/>
    </row>
    <row r="276">
      <c r="G276" s="2"/>
      <c r="H276" s="2"/>
    </row>
    <row r="277">
      <c r="G277" s="2"/>
      <c r="H277" s="2"/>
    </row>
    <row r="278">
      <c r="G278" s="2"/>
      <c r="H278" s="2"/>
    </row>
    <row r="279">
      <c r="G279" s="2"/>
      <c r="H279" s="2"/>
    </row>
    <row r="280">
      <c r="G280" s="2"/>
      <c r="H280" s="2"/>
    </row>
    <row r="281">
      <c r="G281" s="2"/>
      <c r="H281" s="2"/>
    </row>
    <row r="282">
      <c r="G282" s="2"/>
      <c r="H282" s="2"/>
    </row>
    <row r="283">
      <c r="G283" s="2"/>
      <c r="H283" s="2"/>
    </row>
    <row r="284">
      <c r="G284" s="2"/>
      <c r="H284" s="2"/>
    </row>
    <row r="285">
      <c r="G285" s="2"/>
      <c r="H285" s="2"/>
    </row>
    <row r="286">
      <c r="G286" s="2"/>
      <c r="H286" s="2"/>
    </row>
    <row r="287">
      <c r="G287" s="2"/>
      <c r="H287" s="2"/>
    </row>
    <row r="288">
      <c r="G288" s="2"/>
      <c r="H288" s="2"/>
    </row>
    <row r="289">
      <c r="G289" s="2"/>
      <c r="H289" s="2"/>
    </row>
    <row r="290">
      <c r="G290" s="2"/>
      <c r="H290" s="2"/>
    </row>
    <row r="291">
      <c r="G291" s="2"/>
      <c r="H291" s="2"/>
    </row>
    <row r="292">
      <c r="G292" s="2"/>
      <c r="H292" s="2"/>
    </row>
    <row r="293">
      <c r="G293" s="2"/>
      <c r="H293" s="2"/>
    </row>
    <row r="294">
      <c r="G294" s="2"/>
      <c r="H294" s="2"/>
    </row>
    <row r="295">
      <c r="G295" s="2"/>
      <c r="H295" s="2"/>
    </row>
    <row r="296">
      <c r="G296" s="2"/>
      <c r="H296" s="2"/>
    </row>
    <row r="297">
      <c r="G297" s="2"/>
      <c r="H297" s="2"/>
    </row>
    <row r="298">
      <c r="G298" s="2"/>
      <c r="H298" s="2"/>
    </row>
    <row r="299">
      <c r="G299" s="2"/>
      <c r="H299" s="2"/>
    </row>
    <row r="300">
      <c r="G300" s="2"/>
      <c r="H300" s="2"/>
    </row>
    <row r="301">
      <c r="G301" s="2"/>
      <c r="H301" s="2"/>
    </row>
    <row r="302">
      <c r="G302" s="2"/>
      <c r="H302" s="2"/>
    </row>
    <row r="303">
      <c r="G303" s="2"/>
      <c r="H303" s="2"/>
    </row>
    <row r="304">
      <c r="G304" s="2"/>
      <c r="H304" s="2"/>
    </row>
    <row r="305">
      <c r="G305" s="2"/>
      <c r="H305" s="2"/>
    </row>
    <row r="306">
      <c r="G306" s="2"/>
      <c r="H306" s="2"/>
    </row>
    <row r="307">
      <c r="G307" s="2"/>
      <c r="H307" s="2"/>
    </row>
    <row r="308">
      <c r="G308" s="2"/>
      <c r="H308" s="2"/>
    </row>
    <row r="309">
      <c r="G309" s="2"/>
      <c r="H309" s="2"/>
    </row>
    <row r="310">
      <c r="G310" s="2"/>
      <c r="H310" s="2"/>
    </row>
    <row r="311">
      <c r="G311" s="2"/>
      <c r="H311" s="2"/>
    </row>
    <row r="312">
      <c r="G312" s="2"/>
      <c r="H312" s="2"/>
    </row>
    <row r="313">
      <c r="G313" s="2"/>
      <c r="H313" s="2"/>
    </row>
    <row r="314">
      <c r="G314" s="2"/>
      <c r="H314" s="2"/>
    </row>
    <row r="315">
      <c r="G315" s="2"/>
      <c r="H315" s="2"/>
    </row>
    <row r="316">
      <c r="G316" s="2"/>
      <c r="H316" s="2"/>
    </row>
    <row r="317">
      <c r="G317" s="2"/>
      <c r="H317" s="2"/>
    </row>
    <row r="318">
      <c r="G318" s="2"/>
      <c r="H318" s="2"/>
    </row>
    <row r="319">
      <c r="G319" s="2"/>
      <c r="H319" s="2"/>
    </row>
    <row r="320">
      <c r="G320" s="2"/>
      <c r="H320" s="2"/>
    </row>
    <row r="321">
      <c r="G321" s="2"/>
      <c r="H321" s="2"/>
    </row>
    <row r="322">
      <c r="G322" s="2"/>
      <c r="H322" s="2"/>
    </row>
    <row r="323">
      <c r="G323" s="2"/>
      <c r="H323" s="2"/>
    </row>
    <row r="324">
      <c r="G324" s="2"/>
      <c r="H324" s="2"/>
    </row>
    <row r="325">
      <c r="G325" s="2"/>
      <c r="H325" s="2"/>
    </row>
    <row r="326">
      <c r="G326" s="2"/>
      <c r="H326" s="2"/>
    </row>
    <row r="327">
      <c r="G327" s="2"/>
      <c r="H327" s="2"/>
    </row>
    <row r="328">
      <c r="G328" s="2"/>
      <c r="H328" s="2"/>
    </row>
    <row r="329">
      <c r="G329" s="2"/>
      <c r="H329" s="2"/>
    </row>
    <row r="330">
      <c r="G330" s="2"/>
      <c r="H330" s="2"/>
    </row>
    <row r="331">
      <c r="G331" s="2"/>
      <c r="H331" s="2"/>
    </row>
    <row r="332">
      <c r="G332" s="2"/>
      <c r="H332" s="2"/>
    </row>
    <row r="333">
      <c r="G333" s="2"/>
      <c r="H333" s="2"/>
    </row>
    <row r="334">
      <c r="G334" s="2"/>
      <c r="H334" s="2"/>
    </row>
    <row r="335">
      <c r="G335" s="2"/>
      <c r="H335" s="2"/>
    </row>
    <row r="336">
      <c r="G336" s="2"/>
      <c r="H336" s="2"/>
    </row>
    <row r="337">
      <c r="G337" s="2"/>
      <c r="H337" s="2"/>
    </row>
    <row r="338">
      <c r="G338" s="2"/>
      <c r="H338" s="2"/>
    </row>
    <row r="339">
      <c r="G339" s="2"/>
      <c r="H339" s="2"/>
    </row>
    <row r="340">
      <c r="G340" s="2"/>
      <c r="H340" s="2"/>
    </row>
    <row r="341">
      <c r="G341" s="2"/>
      <c r="H341" s="2"/>
    </row>
    <row r="342">
      <c r="G342" s="2"/>
      <c r="H342" s="2"/>
    </row>
    <row r="343">
      <c r="G343" s="2"/>
      <c r="H343" s="2"/>
    </row>
    <row r="344">
      <c r="G344" s="2"/>
      <c r="H344" s="2"/>
    </row>
    <row r="345">
      <c r="G345" s="2"/>
      <c r="H345" s="2"/>
    </row>
    <row r="346">
      <c r="G346" s="2"/>
      <c r="H346" s="2"/>
    </row>
    <row r="347">
      <c r="G347" s="2"/>
      <c r="H347" s="2"/>
    </row>
    <row r="348">
      <c r="G348" s="2"/>
      <c r="H348" s="2"/>
    </row>
    <row r="349">
      <c r="G349" s="2"/>
      <c r="H349" s="2"/>
    </row>
    <row r="350">
      <c r="G350" s="2"/>
      <c r="H350" s="2"/>
    </row>
    <row r="351">
      <c r="G351" s="2"/>
      <c r="H351" s="2"/>
    </row>
    <row r="352">
      <c r="G352" s="2"/>
      <c r="H352" s="2"/>
    </row>
    <row r="353">
      <c r="G353" s="2"/>
      <c r="H353" s="2"/>
    </row>
    <row r="354">
      <c r="G354" s="2"/>
      <c r="H354" s="2"/>
    </row>
    <row r="355">
      <c r="G355" s="2"/>
      <c r="H355" s="2"/>
    </row>
    <row r="356">
      <c r="G356" s="2"/>
      <c r="H356" s="2"/>
    </row>
    <row r="357">
      <c r="G357" s="2"/>
      <c r="H357" s="2"/>
    </row>
    <row r="358">
      <c r="G358" s="2"/>
      <c r="H358" s="2"/>
    </row>
    <row r="359">
      <c r="G359" s="2"/>
      <c r="H359" s="2"/>
    </row>
    <row r="360">
      <c r="G360" s="2"/>
      <c r="H360" s="2"/>
    </row>
    <row r="361">
      <c r="G361" s="2"/>
      <c r="H361" s="2"/>
    </row>
    <row r="362">
      <c r="G362" s="2"/>
      <c r="H362" s="2"/>
    </row>
    <row r="363">
      <c r="G363" s="2"/>
      <c r="H363" s="2"/>
    </row>
    <row r="364">
      <c r="G364" s="2"/>
      <c r="H364" s="2"/>
    </row>
    <row r="365">
      <c r="G365" s="2"/>
      <c r="H365" s="2"/>
    </row>
    <row r="366">
      <c r="G366" s="2"/>
      <c r="H366" s="2"/>
    </row>
    <row r="367">
      <c r="G367" s="2"/>
      <c r="H367" s="2"/>
    </row>
    <row r="368">
      <c r="G368" s="2"/>
      <c r="H368" s="2"/>
    </row>
    <row r="369">
      <c r="G369" s="2"/>
      <c r="H369" s="2"/>
    </row>
    <row r="370">
      <c r="G370" s="2"/>
      <c r="H370" s="2"/>
    </row>
    <row r="371">
      <c r="G371" s="2"/>
      <c r="H371" s="2"/>
    </row>
    <row r="372">
      <c r="G372" s="2"/>
      <c r="H372" s="2"/>
    </row>
    <row r="373">
      <c r="G373" s="2"/>
      <c r="H373" s="2"/>
    </row>
    <row r="374">
      <c r="G374" s="2"/>
      <c r="H374" s="2"/>
    </row>
    <row r="375">
      <c r="G375" s="2"/>
      <c r="H375" s="2"/>
    </row>
    <row r="376">
      <c r="G376" s="2"/>
      <c r="H376" s="2"/>
    </row>
    <row r="377">
      <c r="G377" s="2"/>
      <c r="H377" s="2"/>
    </row>
    <row r="378">
      <c r="G378" s="2"/>
      <c r="H378" s="2"/>
    </row>
    <row r="379">
      <c r="G379" s="2"/>
      <c r="H379" s="2"/>
    </row>
    <row r="380">
      <c r="G380" s="2"/>
      <c r="H380" s="2"/>
    </row>
    <row r="381">
      <c r="G381" s="2"/>
      <c r="H381" s="2"/>
    </row>
    <row r="382">
      <c r="G382" s="2"/>
      <c r="H382" s="2"/>
    </row>
    <row r="383">
      <c r="G383" s="2"/>
      <c r="H383" s="2"/>
    </row>
    <row r="384">
      <c r="G384" s="2"/>
      <c r="H384" s="2"/>
    </row>
    <row r="385">
      <c r="G385" s="2"/>
      <c r="H385" s="2"/>
    </row>
    <row r="386">
      <c r="G386" s="2"/>
      <c r="H386" s="2"/>
    </row>
    <row r="387">
      <c r="G387" s="2"/>
      <c r="H387" s="2"/>
    </row>
    <row r="388">
      <c r="G388" s="2"/>
      <c r="H388" s="2"/>
    </row>
    <row r="389">
      <c r="G389" s="2"/>
      <c r="H389" s="2"/>
    </row>
    <row r="390">
      <c r="G390" s="2"/>
      <c r="H390" s="2"/>
    </row>
    <row r="391">
      <c r="G391" s="2"/>
      <c r="H391" s="2"/>
    </row>
    <row r="392">
      <c r="G392" s="2"/>
      <c r="H392" s="2"/>
    </row>
    <row r="393">
      <c r="G393" s="2"/>
      <c r="H393" s="2"/>
    </row>
    <row r="394">
      <c r="G394" s="2"/>
      <c r="H394" s="2"/>
    </row>
    <row r="395">
      <c r="G395" s="2"/>
      <c r="H395" s="2"/>
    </row>
    <row r="396">
      <c r="G396" s="2"/>
      <c r="H396" s="2"/>
    </row>
    <row r="397">
      <c r="G397" s="2"/>
      <c r="H397" s="2"/>
    </row>
    <row r="398">
      <c r="G398" s="2"/>
      <c r="H398" s="2"/>
    </row>
    <row r="399">
      <c r="G399" s="2"/>
      <c r="H399" s="2"/>
    </row>
    <row r="400">
      <c r="G400" s="2"/>
      <c r="H400" s="2"/>
    </row>
    <row r="401">
      <c r="G401" s="2"/>
      <c r="H401" s="2"/>
    </row>
    <row r="402">
      <c r="G402" s="2"/>
      <c r="H402" s="2"/>
    </row>
    <row r="403">
      <c r="G403" s="2"/>
      <c r="H403" s="2"/>
    </row>
    <row r="404">
      <c r="G404" s="2"/>
      <c r="H404" s="2"/>
    </row>
    <row r="405">
      <c r="G405" s="2"/>
      <c r="H405" s="2"/>
    </row>
    <row r="406">
      <c r="G406" s="2"/>
      <c r="H406" s="2"/>
    </row>
    <row r="407">
      <c r="G407" s="2"/>
      <c r="H407" s="2"/>
    </row>
    <row r="408">
      <c r="G408" s="2"/>
      <c r="H408" s="2"/>
    </row>
    <row r="409">
      <c r="G409" s="2"/>
      <c r="H409" s="2"/>
    </row>
    <row r="410">
      <c r="G410" s="2"/>
      <c r="H410" s="2"/>
    </row>
    <row r="411">
      <c r="G411" s="2"/>
      <c r="H411" s="2"/>
    </row>
    <row r="412">
      <c r="G412" s="2"/>
      <c r="H412" s="2"/>
    </row>
    <row r="413">
      <c r="G413" s="2"/>
      <c r="H413" s="2"/>
    </row>
    <row r="414">
      <c r="G414" s="2"/>
      <c r="H414" s="2"/>
    </row>
    <row r="415">
      <c r="G415" s="2"/>
      <c r="H415" s="2"/>
    </row>
    <row r="416">
      <c r="G416" s="2"/>
      <c r="H416" s="2"/>
    </row>
    <row r="417">
      <c r="G417" s="2"/>
      <c r="H417" s="2"/>
    </row>
    <row r="418">
      <c r="G418" s="2"/>
      <c r="H418" s="2"/>
    </row>
    <row r="419">
      <c r="G419" s="2"/>
      <c r="H419" s="2"/>
    </row>
    <row r="420">
      <c r="G420" s="2"/>
      <c r="H420" s="2"/>
    </row>
    <row r="421">
      <c r="G421" s="2"/>
      <c r="H421" s="2"/>
    </row>
    <row r="422">
      <c r="G422" s="2"/>
      <c r="H422" s="2"/>
    </row>
    <row r="423">
      <c r="G423" s="2"/>
      <c r="H423" s="2"/>
    </row>
    <row r="424">
      <c r="G424" s="2"/>
      <c r="H424" s="2"/>
    </row>
    <row r="425">
      <c r="G425" s="2"/>
      <c r="H425" s="2"/>
    </row>
    <row r="426">
      <c r="G426" s="2"/>
      <c r="H426" s="2"/>
    </row>
    <row r="427">
      <c r="G427" s="2"/>
      <c r="H427" s="2"/>
    </row>
    <row r="428">
      <c r="G428" s="2"/>
      <c r="H428" s="2"/>
    </row>
    <row r="429">
      <c r="G429" s="2"/>
      <c r="H429" s="2"/>
    </row>
    <row r="430">
      <c r="G430" s="2"/>
      <c r="H430" s="2"/>
    </row>
    <row r="431">
      <c r="G431" s="2"/>
      <c r="H431" s="2"/>
    </row>
    <row r="432">
      <c r="G432" s="2"/>
      <c r="H432" s="2"/>
    </row>
    <row r="433">
      <c r="G433" s="2"/>
      <c r="H433" s="2"/>
    </row>
    <row r="434">
      <c r="G434" s="2"/>
      <c r="H434" s="2"/>
    </row>
    <row r="435">
      <c r="G435" s="2"/>
      <c r="H435" s="2"/>
    </row>
    <row r="436">
      <c r="G436" s="2"/>
      <c r="H436" s="2"/>
    </row>
    <row r="437">
      <c r="G437" s="2"/>
      <c r="H437" s="2"/>
    </row>
    <row r="438">
      <c r="G438" s="2"/>
      <c r="H438" s="2"/>
    </row>
    <row r="439">
      <c r="G439" s="2"/>
      <c r="H439" s="2"/>
    </row>
    <row r="440">
      <c r="G440" s="2"/>
      <c r="H440" s="2"/>
    </row>
    <row r="441">
      <c r="G441" s="2"/>
      <c r="H441" s="2"/>
    </row>
    <row r="442">
      <c r="G442" s="2"/>
      <c r="H442" s="2"/>
    </row>
    <row r="443">
      <c r="G443" s="2"/>
      <c r="H443" s="2"/>
    </row>
    <row r="444">
      <c r="G444" s="2"/>
      <c r="H444" s="2"/>
    </row>
    <row r="445">
      <c r="G445" s="2"/>
      <c r="H445" s="2"/>
    </row>
    <row r="446">
      <c r="G446" s="2"/>
      <c r="H446" s="2"/>
    </row>
    <row r="447">
      <c r="G447" s="2"/>
      <c r="H447" s="2"/>
    </row>
    <row r="448">
      <c r="G448" s="2"/>
      <c r="H448" s="2"/>
    </row>
    <row r="449">
      <c r="G449" s="2"/>
      <c r="H449" s="2"/>
    </row>
    <row r="450">
      <c r="G450" s="2"/>
      <c r="H450" s="2"/>
    </row>
    <row r="451">
      <c r="G451" s="2"/>
      <c r="H451" s="2"/>
    </row>
    <row r="452">
      <c r="G452" s="2"/>
      <c r="H452" s="2"/>
    </row>
    <row r="453">
      <c r="G453" s="2"/>
      <c r="H453" s="2"/>
    </row>
    <row r="454">
      <c r="G454" s="2"/>
      <c r="H454" s="2"/>
    </row>
    <row r="455">
      <c r="G455" s="2"/>
      <c r="H455" s="2"/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</sheetData>
  <mergeCells count="7">
    <mergeCell ref="B4:D4"/>
    <mergeCell ref="G14:G18"/>
    <mergeCell ref="H14:H18"/>
    <mergeCell ref="G21:G22"/>
    <mergeCell ref="H21:H22"/>
    <mergeCell ref="G28:G31"/>
    <mergeCell ref="H28:H31"/>
  </mergeCells>
  <hyperlinks>
    <hyperlink r:id="rId1" ref="B14"/>
    <hyperlink r:id="rId2" ref="B15"/>
    <hyperlink r:id="rId3" ref="B16"/>
    <hyperlink r:id="rId4" ref="B17"/>
    <hyperlink r:id="rId5" ref="B18"/>
    <hyperlink r:id="rId6" ref="B19"/>
    <hyperlink r:id="rId7" ref="B20"/>
    <hyperlink r:id="rId8" ref="B21"/>
    <hyperlink r:id="rId9" ref="B22"/>
    <hyperlink r:id="rId10" ref="B27"/>
    <hyperlink r:id="rId11" ref="B28"/>
    <hyperlink r:id="rId12" ref="B29"/>
    <hyperlink r:id="rId13" ref="B30"/>
    <hyperlink r:id="rId14" ref="B31"/>
  </hyperlinks>
  <drawing r:id="rId15"/>
</worksheet>
</file>