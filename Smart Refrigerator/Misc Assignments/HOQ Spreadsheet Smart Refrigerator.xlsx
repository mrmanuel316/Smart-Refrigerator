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 Refrigerator HOQ" sheetId="1" r:id="rId5"/>
    <sheet state="visible" name="Recreating the Video Example" sheetId="2" r:id="rId6"/>
  </sheets>
  <definedNames/>
  <calcPr/>
</workbook>
</file>

<file path=xl/sharedStrings.xml><?xml version="1.0" encoding="utf-8"?>
<sst xmlns="http://schemas.openxmlformats.org/spreadsheetml/2006/main" count="48" uniqueCount="39">
  <si>
    <t>Technical Spec</t>
  </si>
  <si>
    <t>Size of block of ice</t>
  </si>
  <si>
    <t>Total size of refrigerator</t>
  </si>
  <si>
    <t>Shelving configurations</t>
  </si>
  <si>
    <t>Insulation thickness</t>
  </si>
  <si>
    <t>Construction material</t>
  </si>
  <si>
    <t>Microcontroller settings</t>
  </si>
  <si>
    <t>Customer Needs</t>
  </si>
  <si>
    <t>Weight</t>
  </si>
  <si>
    <t>Durability/Reliability</t>
  </si>
  <si>
    <t>Interior Storage Space</t>
  </si>
  <si>
    <t>Cost of Product</t>
  </si>
  <si>
    <t>Energy Usage</t>
  </si>
  <si>
    <t>Easy to organize</t>
  </si>
  <si>
    <t>Easy to clean</t>
  </si>
  <si>
    <t>Importance weight</t>
  </si>
  <si>
    <t>Total</t>
  </si>
  <si>
    <t>Relative importance weight (%)</t>
  </si>
  <si>
    <t>Value</t>
  </si>
  <si>
    <t>9 x 11 x 3</t>
  </si>
  <si>
    <t>2 Removable shelves 
1 Removable drawer</t>
  </si>
  <si>
    <t>Shelves and interior lined with plastic
Polyurethane Foam
Thin painted metal outer shell</t>
  </si>
  <si>
    <t>Passive mode from 4pm - 9 pm
Active mode from 12am-4pm 
and from 9pm-12am</t>
  </si>
  <si>
    <t>Measurement Unit</t>
  </si>
  <si>
    <t>Inches</t>
  </si>
  <si>
    <t>Cu ft</t>
  </si>
  <si>
    <t>Added Flavor</t>
  </si>
  <si>
    <t>Sugar Content</t>
  </si>
  <si>
    <t>Quality of milk</t>
  </si>
  <si>
    <t>Packaging</t>
  </si>
  <si>
    <t>Size</t>
  </si>
  <si>
    <t>Great Taste</t>
  </si>
  <si>
    <t>Attractice Appearance</t>
  </si>
  <si>
    <t>Low Price</t>
  </si>
  <si>
    <t>Relatively Healthy</t>
  </si>
  <si>
    <t>Caramel</t>
  </si>
  <si>
    <t>mg/bar</t>
  </si>
  <si>
    <t>ml/bar</t>
  </si>
  <si>
    <t>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</si>
</sst>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B8FF"/>
        <bgColor rgb="FFFFB8FF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textRotation="90"/>
    </xf>
    <xf borderId="1" fillId="2" fontId="1" numFmtId="0" xfId="0" applyAlignment="1" applyBorder="1" applyFill="1" applyFont="1">
      <alignment horizontal="center" readingOrder="0" textRotation="90"/>
    </xf>
    <xf borderId="1" fillId="2" fontId="1" numFmtId="0" xfId="0" applyAlignment="1" applyBorder="1" applyFont="1">
      <alignment horizontal="center" readingOrder="0" shrinkToFit="0" textRotation="90" vertical="center" wrapText="1"/>
    </xf>
    <xf borderId="0" fillId="0" fontId="2" numFmtId="0" xfId="0" applyAlignment="1" applyFont="1">
      <alignment readingOrder="0"/>
    </xf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readingOrder="0"/>
    </xf>
    <xf borderId="1" fillId="4" fontId="5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1" fillId="5" fontId="5" numFmtId="0" xfId="0" applyBorder="1" applyFill="1" applyFont="1"/>
    <xf borderId="0" fillId="0" fontId="5" numFmtId="0" xfId="0" applyAlignment="1" applyFont="1">
      <alignment readingOrder="0"/>
    </xf>
    <xf borderId="1" fillId="5" fontId="5" numFmtId="1" xfId="0" applyBorder="1" applyFont="1" applyNumberFormat="1"/>
    <xf borderId="0" fillId="0" fontId="5" numFmtId="0" xfId="0" applyAlignment="1" applyFont="1">
      <alignment horizontal="left"/>
    </xf>
    <xf borderId="1" fillId="6" fontId="6" numFmtId="0" xfId="0" applyAlignment="1" applyBorder="1" applyFill="1" applyFont="1">
      <alignment horizontal="center" readingOrder="0" textRotation="90" vertical="center"/>
    </xf>
    <xf borderId="5" fillId="6" fontId="6" numFmtId="0" xfId="0" applyAlignment="1" applyBorder="1" applyFont="1">
      <alignment horizontal="center" readingOrder="0" shrinkToFit="0" textRotation="90" vertical="center" wrapText="1"/>
    </xf>
    <xf borderId="5" fillId="6" fontId="7" numFmtId="0" xfId="0" applyAlignment="1" applyBorder="1" applyFont="1">
      <alignment horizontal="center" readingOrder="0" textRotation="90" vertical="center"/>
    </xf>
    <xf borderId="5" fillId="6" fontId="6" numFmtId="0" xfId="0" applyAlignment="1" applyBorder="1" applyFont="1">
      <alignment horizontal="center" readingOrder="0" textRotation="90" vertical="center"/>
    </xf>
    <xf borderId="6" fillId="0" fontId="3" numFmtId="0" xfId="0" applyBorder="1" applyFont="1"/>
    <xf borderId="0" fillId="0" fontId="2" numFmtId="0" xfId="0" applyFont="1"/>
    <xf borderId="1" fillId="6" fontId="6" numFmtId="0" xfId="0" applyAlignment="1" applyBorder="1" applyFont="1">
      <alignment horizontal="center" textRotation="9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1</xdr:row>
      <xdr:rowOff>66675</xdr:rowOff>
    </xdr:from>
    <xdr:ext cx="4591050" cy="2381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1</xdr:row>
      <xdr:rowOff>95250</xdr:rowOff>
    </xdr:from>
    <xdr:ext cx="2943225" cy="1295400"/>
    <xdr:grpSp>
      <xdr:nvGrpSpPr>
        <xdr:cNvPr id="2" name="Shape 2" title="Drawing"/>
        <xdr:cNvGrpSpPr/>
      </xdr:nvGrpSpPr>
      <xdr:grpSpPr>
        <a:xfrm>
          <a:off x="1110800" y="1280925"/>
          <a:ext cx="7595475" cy="3302325"/>
          <a:chOff x="1110800" y="1280925"/>
          <a:chExt cx="7595475" cy="3302325"/>
        </a:xfrm>
      </xdr:grpSpPr>
      <xdr:sp>
        <xdr:nvSpPr>
          <xdr:cNvPr id="3" name="Shape 3"/>
          <xdr:cNvSpPr/>
        </xdr:nvSpPr>
        <xdr:spPr>
          <a:xfrm>
            <a:off x="1110800" y="1280925"/>
            <a:ext cx="6915000" cy="3282300"/>
          </a:xfrm>
          <a:prstGeom prst="triangle">
            <a:avLst>
              <a:gd fmla="val 50000" name="adj"/>
            </a:avLst>
          </a:prstGeom>
          <a:solidFill>
            <a:srgbClr val="FFFFFF"/>
          </a:solidFill>
          <a:ln cap="flat" cmpd="sng" w="19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4" name="Shape 4"/>
          <xdr:cNvCxnSpPr/>
        </xdr:nvCxnSpPr>
        <xdr:spPr>
          <a:xfrm flipH="1" rot="10800000">
            <a:off x="2551825" y="2001025"/>
            <a:ext cx="2798700" cy="25422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5" name="Shape 5"/>
          <xdr:cNvCxnSpPr/>
        </xdr:nvCxnSpPr>
        <xdr:spPr>
          <a:xfrm flipH="1" rot="10800000">
            <a:off x="3852750" y="2640250"/>
            <a:ext cx="2162700" cy="19230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" name="Shape 6"/>
          <xdr:cNvCxnSpPr/>
        </xdr:nvCxnSpPr>
        <xdr:spPr>
          <a:xfrm flipH="1" rot="10800000">
            <a:off x="5383825" y="3322450"/>
            <a:ext cx="1310700" cy="12408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7" name="Shape 7"/>
          <xdr:cNvCxnSpPr/>
        </xdr:nvCxnSpPr>
        <xdr:spPr>
          <a:xfrm flipH="1" rot="10800000">
            <a:off x="6784825" y="3992850"/>
            <a:ext cx="600300" cy="5904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8" name="Shape 8"/>
          <xdr:cNvCxnSpPr/>
        </xdr:nvCxnSpPr>
        <xdr:spPr>
          <a:xfrm rot="10800000">
            <a:off x="3854825" y="1930550"/>
            <a:ext cx="2940000" cy="26427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9" name="Shape 9"/>
          <xdr:cNvCxnSpPr/>
        </xdr:nvCxnSpPr>
        <xdr:spPr>
          <a:xfrm rot="10800000">
            <a:off x="3189925" y="2589125"/>
            <a:ext cx="2193900" cy="19641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0" name="Shape 10"/>
          <xdr:cNvCxnSpPr/>
        </xdr:nvCxnSpPr>
        <xdr:spPr>
          <a:xfrm rot="10800000">
            <a:off x="2422950" y="3317750"/>
            <a:ext cx="1459800" cy="12555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1" name="Shape 11"/>
          <xdr:cNvCxnSpPr/>
        </xdr:nvCxnSpPr>
        <xdr:spPr>
          <a:xfrm rot="10800000">
            <a:off x="1801425" y="3892925"/>
            <a:ext cx="770400" cy="6603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2" name="Shape 12"/>
          <xdr:cNvSpPr txBox="1"/>
        </xdr:nvSpPr>
        <xdr:spPr>
          <a:xfrm>
            <a:off x="2151525" y="3377400"/>
            <a:ext cx="640500" cy="9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00">
                <a:solidFill>
                  <a:srgbClr val="38761D"/>
                </a:solidFill>
              </a:rPr>
              <a:t>+</a:t>
            </a:r>
            <a:endParaRPr b="1" sz="6000">
              <a:solidFill>
                <a:srgbClr val="38761D"/>
              </a:solidFill>
            </a:endParaRPr>
          </a:p>
        </xdr:txBody>
      </xdr:sp>
      <xdr:sp>
        <xdr:nvSpPr>
          <xdr:cNvPr id="13" name="Shape 13"/>
          <xdr:cNvSpPr txBox="1"/>
        </xdr:nvSpPr>
        <xdr:spPr>
          <a:xfrm>
            <a:off x="2642550" y="2682000"/>
            <a:ext cx="1240200" cy="9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00">
                <a:solidFill>
                  <a:srgbClr val="38761D"/>
                </a:solidFill>
              </a:rPr>
              <a:t>++</a:t>
            </a:r>
            <a:endParaRPr b="1" sz="6000">
              <a:solidFill>
                <a:srgbClr val="38761D"/>
              </a:solidFill>
            </a:endParaRPr>
          </a:p>
        </xdr:txBody>
      </xdr:sp>
      <xdr:sp>
        <xdr:nvSpPr>
          <xdr:cNvPr id="14" name="Shape 14"/>
          <xdr:cNvSpPr txBox="1"/>
        </xdr:nvSpPr>
        <xdr:spPr>
          <a:xfrm>
            <a:off x="6337475" y="3317750"/>
            <a:ext cx="2368800" cy="9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00">
                <a:solidFill>
                  <a:srgbClr val="660000"/>
                </a:solidFill>
              </a:rPr>
              <a:t>-</a:t>
            </a:r>
            <a:r>
              <a:rPr b="1" lang="en-US" sz="2000">
                <a:solidFill>
                  <a:srgbClr val="660000"/>
                </a:solidFill>
              </a:rPr>
              <a:t> </a:t>
            </a:r>
            <a:r>
              <a:rPr b="1" lang="en-US" sz="6000">
                <a:solidFill>
                  <a:srgbClr val="660000"/>
                </a:solidFill>
              </a:rPr>
              <a:t>-</a:t>
            </a:r>
            <a:endParaRPr b="1" sz="6000">
              <a:solidFill>
                <a:srgbClr val="660000"/>
              </a:solidFill>
            </a:endParaRPr>
          </a:p>
        </xdr:txBody>
      </xdr:sp>
    </xdr:grpSp>
    <xdr:clientData fLocksWithSheet="0"/>
  </xdr:oneCellAnchor>
  <xdr:oneCellAnchor>
    <xdr:from>
      <xdr:col>12</xdr:col>
      <xdr:colOff>704850</xdr:colOff>
      <xdr:row>4</xdr:row>
      <xdr:rowOff>85725</xdr:rowOff>
    </xdr:from>
    <xdr:ext cx="4876800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9.25"/>
    <col customWidth="1" min="4" max="9" width="9.5"/>
    <col customWidth="1" min="10" max="10" width="8.0"/>
  </cols>
  <sheetData>
    <row r="3" ht="99.75" customHeight="1"/>
    <row r="9" ht="193.5" customHeight="1">
      <c r="C9" s="1" t="s">
        <v>0</v>
      </c>
      <c r="D9" s="2" t="s">
        <v>1</v>
      </c>
      <c r="E9" s="2" t="s">
        <v>2</v>
      </c>
      <c r="F9" s="2" t="s">
        <v>3</v>
      </c>
      <c r="G9" s="2" t="s">
        <v>4</v>
      </c>
      <c r="H9" s="2" t="s">
        <v>5</v>
      </c>
      <c r="I9" s="3" t="s">
        <v>6</v>
      </c>
    </row>
    <row r="10">
      <c r="B10" s="4" t="s">
        <v>7</v>
      </c>
      <c r="C10" s="4" t="s">
        <v>8</v>
      </c>
      <c r="D10" s="5"/>
      <c r="E10" s="6"/>
      <c r="F10" s="6"/>
      <c r="G10" s="6"/>
      <c r="H10" s="6"/>
      <c r="I10" s="7"/>
      <c r="K10" s="8"/>
    </row>
    <row r="11">
      <c r="B11" s="9" t="s">
        <v>9</v>
      </c>
      <c r="C11" s="10">
        <v>8.8</v>
      </c>
      <c r="D11" s="11">
        <v>3.0</v>
      </c>
      <c r="E11" s="11">
        <v>0.0</v>
      </c>
      <c r="F11" s="11">
        <v>0.0</v>
      </c>
      <c r="G11" s="11">
        <v>0.0</v>
      </c>
      <c r="H11" s="11">
        <v>9.0</v>
      </c>
      <c r="I11" s="11">
        <v>5.0</v>
      </c>
      <c r="K11" s="8"/>
    </row>
    <row r="12">
      <c r="B12" s="9" t="s">
        <v>10</v>
      </c>
      <c r="C12" s="10">
        <v>9.6</v>
      </c>
      <c r="D12" s="11">
        <v>9.0</v>
      </c>
      <c r="E12" s="11">
        <v>9.0</v>
      </c>
      <c r="F12" s="11">
        <v>5.0</v>
      </c>
      <c r="G12" s="11">
        <v>3.0</v>
      </c>
      <c r="H12" s="11">
        <v>0.0</v>
      </c>
      <c r="I12" s="11">
        <v>0.0</v>
      </c>
      <c r="K12" s="8"/>
    </row>
    <row r="13">
      <c r="B13" s="9" t="s">
        <v>11</v>
      </c>
      <c r="C13" s="10">
        <v>6.4</v>
      </c>
      <c r="D13" s="11">
        <v>0.0</v>
      </c>
      <c r="E13" s="11">
        <v>9.0</v>
      </c>
      <c r="F13" s="11">
        <v>3.0</v>
      </c>
      <c r="G13" s="11">
        <v>3.0</v>
      </c>
      <c r="H13" s="11">
        <v>9.0</v>
      </c>
      <c r="I13" s="11">
        <v>0.0</v>
      </c>
      <c r="K13" s="8"/>
    </row>
    <row r="14">
      <c r="B14" s="9" t="s">
        <v>12</v>
      </c>
      <c r="C14" s="10">
        <v>8.2</v>
      </c>
      <c r="D14" s="11">
        <v>9.0</v>
      </c>
      <c r="E14" s="11">
        <v>5.0</v>
      </c>
      <c r="F14" s="11">
        <v>0.0</v>
      </c>
      <c r="G14" s="11">
        <v>9.0</v>
      </c>
      <c r="H14" s="11">
        <v>5.0</v>
      </c>
      <c r="I14" s="11">
        <v>9.0</v>
      </c>
      <c r="K14" s="8"/>
    </row>
    <row r="15">
      <c r="B15" s="9" t="s">
        <v>13</v>
      </c>
      <c r="C15" s="10">
        <v>8.0</v>
      </c>
      <c r="D15" s="11">
        <v>0.0</v>
      </c>
      <c r="E15" s="11">
        <v>9.0</v>
      </c>
      <c r="F15" s="11">
        <v>9.0</v>
      </c>
      <c r="G15" s="11">
        <v>0.0</v>
      </c>
      <c r="H15" s="11">
        <v>0.0</v>
      </c>
      <c r="I15" s="11">
        <v>0.0</v>
      </c>
      <c r="K15" s="8"/>
    </row>
    <row r="16">
      <c r="B16" s="9" t="s">
        <v>14</v>
      </c>
      <c r="C16" s="10">
        <v>7.0</v>
      </c>
      <c r="D16" s="11">
        <v>0.0</v>
      </c>
      <c r="E16" s="11">
        <v>5.0</v>
      </c>
      <c r="F16" s="11">
        <v>9.0</v>
      </c>
      <c r="G16" s="11">
        <v>0.0</v>
      </c>
      <c r="H16" s="11">
        <v>0.0</v>
      </c>
      <c r="I16" s="11">
        <v>0.0</v>
      </c>
      <c r="K16" s="8"/>
    </row>
    <row r="17">
      <c r="B17" s="12" t="s">
        <v>15</v>
      </c>
      <c r="D17" s="13">
        <f t="shared" ref="D17:I17" si="1">$C$11*D11+$C$12*D12+$C$13*D13+$C$16*D16</f>
        <v>112.8</v>
      </c>
      <c r="E17" s="13">
        <f t="shared" si="1"/>
        <v>179</v>
      </c>
      <c r="F17" s="13">
        <f t="shared" si="1"/>
        <v>130.2</v>
      </c>
      <c r="G17" s="13">
        <f t="shared" si="1"/>
        <v>48</v>
      </c>
      <c r="H17" s="13">
        <f t="shared" si="1"/>
        <v>136.8</v>
      </c>
      <c r="I17" s="13">
        <f t="shared" si="1"/>
        <v>44</v>
      </c>
      <c r="J17" s="14" t="s">
        <v>16</v>
      </c>
      <c r="K17" s="8"/>
    </row>
    <row r="18">
      <c r="B18" s="12" t="s">
        <v>17</v>
      </c>
      <c r="D18" s="15">
        <f t="shared" ref="D18:I18" si="2">D17/$J$18*100</f>
        <v>17.33251383</v>
      </c>
      <c r="E18" s="15">
        <f t="shared" si="2"/>
        <v>27.50460971</v>
      </c>
      <c r="F18" s="15">
        <f t="shared" si="2"/>
        <v>20.00614628</v>
      </c>
      <c r="G18" s="15">
        <f t="shared" si="2"/>
        <v>7.3755378</v>
      </c>
      <c r="H18" s="15">
        <f t="shared" si="2"/>
        <v>21.02028273</v>
      </c>
      <c r="I18" s="15">
        <f t="shared" si="2"/>
        <v>6.76090965</v>
      </c>
      <c r="J18" s="16">
        <f>Sum(D17:I17)</f>
        <v>650.8</v>
      </c>
      <c r="K18" s="8"/>
    </row>
    <row r="19" ht="91.5" customHeight="1">
      <c r="C19" s="12" t="s">
        <v>18</v>
      </c>
      <c r="D19" s="17" t="s">
        <v>19</v>
      </c>
      <c r="E19" s="17">
        <v>3.7</v>
      </c>
      <c r="F19" s="18" t="s">
        <v>20</v>
      </c>
      <c r="G19" s="17">
        <v>2.0</v>
      </c>
      <c r="H19" s="19" t="s">
        <v>21</v>
      </c>
      <c r="I19" s="20" t="s">
        <v>22</v>
      </c>
    </row>
    <row r="20" ht="99.0" customHeight="1">
      <c r="B20" s="12" t="s">
        <v>23</v>
      </c>
      <c r="D20" s="17" t="s">
        <v>24</v>
      </c>
      <c r="E20" s="17" t="s">
        <v>25</v>
      </c>
      <c r="F20" s="21"/>
      <c r="G20" s="17" t="s">
        <v>24</v>
      </c>
      <c r="H20" s="21"/>
      <c r="I20" s="21"/>
    </row>
  </sheetData>
  <mergeCells count="7">
    <mergeCell ref="D10:I10"/>
    <mergeCell ref="B17:C17"/>
    <mergeCell ref="B18:C18"/>
    <mergeCell ref="F19:F20"/>
    <mergeCell ref="H19:H20"/>
    <mergeCell ref="I19:I20"/>
    <mergeCell ref="B20:C20"/>
  </mergeCells>
  <printOptions horizontalCentered="1"/>
  <pageMargins bottom="0.75" footer="0.0" header="0.0" left="0.7" right="0.7" top="0.75"/>
  <pageSetup scale="75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9.25"/>
    <col customWidth="1" min="4" max="4" width="7.38"/>
    <col customWidth="1" min="5" max="5" width="6.63"/>
    <col customWidth="1" min="6" max="6" width="7.63"/>
    <col customWidth="1" min="7" max="7" width="7.38"/>
    <col customWidth="1" min="8" max="8" width="6.63"/>
  </cols>
  <sheetData>
    <row r="9" ht="111.75" customHeight="1">
      <c r="C9" s="1" t="s">
        <v>0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</row>
    <row r="10">
      <c r="B10" s="4" t="s">
        <v>7</v>
      </c>
      <c r="C10" s="4" t="s">
        <v>8</v>
      </c>
      <c r="D10" s="5"/>
      <c r="E10" s="6"/>
      <c r="F10" s="6"/>
      <c r="G10" s="6"/>
      <c r="H10" s="7"/>
    </row>
    <row r="11">
      <c r="B11" s="9" t="s">
        <v>31</v>
      </c>
      <c r="C11" s="10">
        <v>5.0</v>
      </c>
      <c r="D11" s="11">
        <v>9.0</v>
      </c>
      <c r="E11" s="11">
        <v>3.0</v>
      </c>
      <c r="F11" s="11">
        <v>9.0</v>
      </c>
      <c r="G11" s="11">
        <v>0.0</v>
      </c>
      <c r="H11" s="11">
        <v>0.0</v>
      </c>
    </row>
    <row r="12">
      <c r="B12" s="9" t="s">
        <v>32</v>
      </c>
      <c r="C12" s="10">
        <v>3.0</v>
      </c>
      <c r="D12" s="11">
        <v>0.0</v>
      </c>
      <c r="E12" s="11">
        <v>0.0</v>
      </c>
      <c r="F12" s="11">
        <v>0.0</v>
      </c>
      <c r="G12" s="11">
        <v>9.0</v>
      </c>
      <c r="H12" s="11">
        <v>0.0</v>
      </c>
    </row>
    <row r="13">
      <c r="B13" s="9" t="s">
        <v>33</v>
      </c>
      <c r="C13" s="10">
        <v>4.0</v>
      </c>
      <c r="D13" s="11">
        <v>0.0</v>
      </c>
      <c r="E13" s="11">
        <v>0.0</v>
      </c>
      <c r="F13" s="11">
        <v>3.0</v>
      </c>
      <c r="G13" s="11">
        <v>3.0</v>
      </c>
      <c r="H13" s="11">
        <v>9.0</v>
      </c>
    </row>
    <row r="14">
      <c r="B14" s="9" t="s">
        <v>34</v>
      </c>
      <c r="C14" s="10">
        <v>1.0</v>
      </c>
      <c r="D14" s="11">
        <v>0.0</v>
      </c>
      <c r="E14" s="11">
        <v>9.0</v>
      </c>
      <c r="F14" s="11">
        <v>3.0</v>
      </c>
      <c r="G14" s="11">
        <v>0.0</v>
      </c>
      <c r="H14" s="11">
        <v>0.0</v>
      </c>
      <c r="I14" s="4" t="s">
        <v>16</v>
      </c>
    </row>
    <row r="15">
      <c r="B15" s="12" t="s">
        <v>15</v>
      </c>
      <c r="D15" s="13">
        <f t="shared" ref="D15:H15" si="1">$C$11*D11+$C$12*D12+$C$13*D13+$C$14*D14</f>
        <v>45</v>
      </c>
      <c r="E15" s="13">
        <f t="shared" si="1"/>
        <v>24</v>
      </c>
      <c r="F15" s="13">
        <f t="shared" si="1"/>
        <v>60</v>
      </c>
      <c r="G15" s="13">
        <f t="shared" si="1"/>
        <v>39</v>
      </c>
      <c r="H15" s="13">
        <f t="shared" si="1"/>
        <v>36</v>
      </c>
      <c r="I15" s="22">
        <f>Sum(D15:H15)</f>
        <v>204</v>
      </c>
    </row>
    <row r="16">
      <c r="B16" s="12" t="s">
        <v>17</v>
      </c>
      <c r="D16" s="15">
        <f t="shared" ref="D16:H16" si="2">D15/$I$15*100</f>
        <v>22.05882353</v>
      </c>
      <c r="E16" s="15">
        <f t="shared" si="2"/>
        <v>11.76470588</v>
      </c>
      <c r="F16" s="15">
        <f t="shared" si="2"/>
        <v>29.41176471</v>
      </c>
      <c r="G16" s="15">
        <f t="shared" si="2"/>
        <v>19.11764706</v>
      </c>
      <c r="H16" s="15">
        <f t="shared" si="2"/>
        <v>17.64705882</v>
      </c>
    </row>
    <row r="17" ht="59.25" customHeight="1">
      <c r="C17" s="12" t="s">
        <v>18</v>
      </c>
      <c r="D17" s="17" t="s">
        <v>35</v>
      </c>
      <c r="E17" s="17">
        <v>0.8</v>
      </c>
      <c r="F17" s="17">
        <v>4.0</v>
      </c>
      <c r="G17" s="17">
        <v>5.0</v>
      </c>
      <c r="H17" s="17">
        <v>7.0</v>
      </c>
    </row>
    <row r="18" ht="63.0" customHeight="1">
      <c r="B18" s="12" t="s">
        <v>23</v>
      </c>
      <c r="D18" s="23"/>
      <c r="E18" s="17" t="s">
        <v>36</v>
      </c>
      <c r="F18" s="17" t="s">
        <v>37</v>
      </c>
      <c r="G18" s="23"/>
      <c r="H18" s="17" t="s">
        <v>38</v>
      </c>
    </row>
  </sheetData>
  <mergeCells count="4">
    <mergeCell ref="D10:H10"/>
    <mergeCell ref="B15:C15"/>
    <mergeCell ref="B16:C16"/>
    <mergeCell ref="B18:C18"/>
  </mergeCells>
  <drawing r:id="rId1"/>
</worksheet>
</file>