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Example" sheetId="2" r:id="rId5"/>
  </sheets>
  <definedNames/>
  <calcPr/>
  <extLst>
    <ext uri="GoogleSheetsCustomDataVersion2">
      <go:sheetsCustomData xmlns:go="http://customooxmlschemas.google.com/" r:id="rId6" roundtripDataChecksum="xSayqhgZl8HDkI22k27/f1yCMfFURLhcUAcA0M7H66c="/>
    </ext>
  </extLst>
</workbook>
</file>

<file path=xl/sharedStrings.xml><?xml version="1.0" encoding="utf-8"?>
<sst xmlns="http://schemas.openxmlformats.org/spreadsheetml/2006/main" count="85" uniqueCount="74">
  <si>
    <t>Smart Refrigerator Customer Needs</t>
  </si>
  <si>
    <t>Compiled by:</t>
  </si>
  <si>
    <t>Isabel Price(lead), Kalino Ruiz, Caleb Mok, Brent Marin, Mathew Manuel</t>
  </si>
  <si>
    <t>Sample Size:</t>
  </si>
  <si>
    <t>22</t>
  </si>
  <si>
    <t>Average Customer:</t>
  </si>
  <si>
    <t>Participants ranged in age from 18-55+. The sample population is 46% male and 56% female. Exactly 50% of participants own their home and the other 50% rent.</t>
  </si>
  <si>
    <t xml:space="preserve">Customer Need </t>
  </si>
  <si>
    <t>Weighted average from survey</t>
  </si>
  <si>
    <t>Team member's Subjective weight</t>
  </si>
  <si>
    <t>Our team's subjective weight</t>
  </si>
  <si>
    <t>User friendly</t>
  </si>
  <si>
    <t>Isabel</t>
  </si>
  <si>
    <t>Kalino</t>
  </si>
  <si>
    <t>Caleb</t>
  </si>
  <si>
    <t>Brent</t>
  </si>
  <si>
    <t xml:space="preserve">Mathew </t>
  </si>
  <si>
    <t>Easy to use</t>
  </si>
  <si>
    <t>Easy user interface</t>
  </si>
  <si>
    <t>Easy to clean</t>
  </si>
  <si>
    <t>Easy to organize</t>
  </si>
  <si>
    <t>Easy to move</t>
  </si>
  <si>
    <t>Cost of Operation</t>
  </si>
  <si>
    <t>Cost of Product</t>
  </si>
  <si>
    <t>Energy Usage</t>
  </si>
  <si>
    <t>Durability</t>
  </si>
  <si>
    <t>Features</t>
  </si>
  <si>
    <t>Water Dispenser</t>
  </si>
  <si>
    <t>Interior Storage Space</t>
  </si>
  <si>
    <t>Ice Maker (for user ice)</t>
  </si>
  <si>
    <t xml:space="preserve">Temperature Adjustment </t>
  </si>
  <si>
    <t>Aesthetics</t>
  </si>
  <si>
    <t>Other</t>
  </si>
  <si>
    <t>Noise level</t>
  </si>
  <si>
    <t>Interior space</t>
  </si>
  <si>
    <t>Cost of product</t>
  </si>
  <si>
    <t>Energy Ugage</t>
  </si>
  <si>
    <t>Temperature Adjustment</t>
  </si>
  <si>
    <t>Size</t>
  </si>
  <si>
    <t>Cup Holder:</t>
  </si>
  <si>
    <t>Customer Needs</t>
  </si>
  <si>
    <t>40 customers</t>
  </si>
  <si>
    <t xml:space="preserve">Amazon reviewer
Male/Female, age 20-40
Regularly carries liquid container
</t>
  </si>
  <si>
    <t>(#)</t>
  </si>
  <si>
    <t>WT</t>
  </si>
  <si>
    <t>Rank order of customer needs</t>
  </si>
  <si>
    <t>Subjective ranking based on frequency &amp; emphasis of need (from our reviews)</t>
  </si>
  <si>
    <t>Adjustability/Repositionable</t>
  </si>
  <si>
    <t>Easy to take in/out of the cup/bottle</t>
  </si>
  <si>
    <t>5.5</t>
  </si>
  <si>
    <t>Cup holder can be moved (as needed)</t>
  </si>
  <si>
    <t>5.0</t>
  </si>
  <si>
    <t>Holds different size cup and bottles</t>
  </si>
  <si>
    <t>Stability</t>
  </si>
  <si>
    <t>Stable while mounted</t>
  </si>
  <si>
    <t>8.5</t>
  </si>
  <si>
    <t>Able to hold objects securly</t>
  </si>
  <si>
    <t>6.2</t>
  </si>
  <si>
    <t>Easy to install and adjust the holder</t>
  </si>
  <si>
    <t>Design/Construction</t>
  </si>
  <si>
    <t>User friendly size (not too big or bulky)</t>
  </si>
  <si>
    <t>8.0</t>
  </si>
  <si>
    <t>Solid/Strong construction/ lightweight</t>
  </si>
  <si>
    <t>Does not scratch user/cup (deburred)</t>
  </si>
  <si>
    <t>Should fit without modification</t>
  </si>
  <si>
    <t>Waterproof</t>
  </si>
  <si>
    <t>8</t>
  </si>
  <si>
    <t>2.0</t>
  </si>
  <si>
    <t>Good looking</t>
  </si>
  <si>
    <t>9</t>
  </si>
  <si>
    <t>1.0</t>
  </si>
  <si>
    <t>Cost</t>
  </si>
  <si>
    <t>Reasonable price</t>
  </si>
  <si>
    <t>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</si>
</sst>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sz val="10.0"/>
      <color rgb="FFFF0000"/>
      <name val="Arial"/>
    </font>
    <font>
      <sz val="10.0"/>
      <color rgb="FF000000"/>
      <name val="Arial"/>
    </font>
    <font>
      <b/>
      <sz val="14.0"/>
      <color rgb="FFFF0000"/>
      <name val="Arial"/>
    </font>
    <font/>
    <font>
      <b/>
      <sz val="10.0"/>
      <color rgb="FF000000"/>
      <name val="Arial"/>
    </font>
    <font>
      <sz val="11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b/>
      <sz val="18.0"/>
      <color theme="1"/>
      <name val="Arial"/>
    </font>
    <font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2" fontId="3" numFmtId="49" xfId="0" applyFill="1" applyFont="1" applyNumberFormat="1"/>
    <xf borderId="1" fillId="0" fontId="3" numFmtId="49" xfId="0" applyAlignment="1" applyBorder="1" applyFont="1" applyNumberForma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2" fontId="2" numFmtId="49" xfId="0" applyFont="1" applyNumberFormat="1"/>
    <xf borderId="4" fillId="0" fontId="5" numFmtId="49" xfId="0" applyBorder="1" applyFont="1" applyNumberFormat="1"/>
    <xf borderId="0" fillId="0" fontId="6" numFmtId="49" xfId="0" applyAlignment="1" applyFont="1" applyNumberFormat="1">
      <alignment readingOrder="0"/>
    </xf>
    <xf borderId="5" fillId="0" fontId="4" numFmtId="0" xfId="0" applyBorder="1" applyFont="1"/>
    <xf borderId="0" fillId="2" fontId="7" numFmtId="49" xfId="0" applyFont="1" applyNumberFormat="1"/>
    <xf borderId="4" fillId="0" fontId="7" numFmtId="49" xfId="0" applyBorder="1" applyFont="1" applyNumberFormat="1"/>
    <xf borderId="0" fillId="0" fontId="2" numFmtId="49" xfId="0" applyAlignment="1" applyFont="1" applyNumberFormat="1">
      <alignment readingOrder="0"/>
    </xf>
    <xf borderId="5" fillId="0" fontId="2" numFmtId="49" xfId="0" applyBorder="1" applyFont="1" applyNumberFormat="1"/>
    <xf borderId="4" fillId="0" fontId="2" numFmtId="49" xfId="0" applyBorder="1" applyFont="1" applyNumberFormat="1"/>
    <xf borderId="0" fillId="0" fontId="2" numFmtId="49" xfId="0" applyAlignment="1" applyFont="1" applyNumberFormat="1">
      <alignment readingOrder="0" shrinkToFit="0" vertical="top" wrapText="1"/>
    </xf>
    <xf borderId="6" fillId="0" fontId="2" numFmtId="49" xfId="0" applyBorder="1" applyFont="1" applyNumberFormat="1"/>
    <xf borderId="7" fillId="0" fontId="4" numFmtId="0" xfId="0" applyBorder="1" applyFont="1"/>
    <xf borderId="8" fillId="0" fontId="4" numFmtId="0" xfId="0" applyBorder="1" applyFont="1"/>
    <xf borderId="0" fillId="2" fontId="7" numFmtId="49" xfId="0" applyAlignment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0" fillId="0" fontId="8" numFmtId="0" xfId="0" applyFont="1"/>
    <xf borderId="0" fillId="2" fontId="7" numFmtId="49" xfId="0" applyAlignment="1" applyFont="1" applyNumberFormat="1">
      <alignment horizontal="center" vertical="center"/>
    </xf>
    <xf borderId="9" fillId="0" fontId="7" numFmtId="49" xfId="0" applyAlignment="1" applyBorder="1" applyFont="1" applyNumberFormat="1">
      <alignment horizontal="center" vertical="center"/>
    </xf>
    <xf borderId="10" fillId="0" fontId="4" numFmtId="0" xfId="0" applyBorder="1" applyFont="1"/>
    <xf borderId="11" fillId="0" fontId="4" numFmtId="0" xfId="0" applyBorder="1" applyFont="1"/>
    <xf borderId="12" fillId="0" fontId="7" numFmtId="49" xfId="0" applyAlignment="1" applyBorder="1" applyFont="1" applyNumberFormat="1">
      <alignment horizontal="center" readingOrder="0" shrinkToFit="0" vertical="center" wrapText="1"/>
    </xf>
    <xf borderId="13" fillId="0" fontId="7" numFmtId="49" xfId="0" applyAlignment="1" applyBorder="1" applyFont="1" applyNumberFormat="1">
      <alignment horizontal="center" readingOrder="0" shrinkToFit="0" vertical="center" wrapText="1"/>
    </xf>
    <xf borderId="14" fillId="0" fontId="9" numFmtId="0" xfId="0" applyAlignment="1" applyBorder="1" applyFont="1">
      <alignment horizontal="center" readingOrder="0"/>
    </xf>
    <xf borderId="14" fillId="0" fontId="4" numFmtId="0" xfId="0" applyBorder="1" applyFont="1"/>
    <xf borderId="15" fillId="0" fontId="4" numFmtId="0" xfId="0" applyBorder="1" applyFont="1"/>
    <xf borderId="0" fillId="2" fontId="7" numFmtId="49" xfId="0" applyAlignment="1" applyFont="1" applyNumberFormat="1">
      <alignment horizontal="center" readingOrder="0" shrinkToFit="0" wrapText="1"/>
    </xf>
    <xf borderId="16" fillId="3" fontId="7" numFmtId="49" xfId="0" applyAlignment="1" applyBorder="1" applyFill="1" applyFont="1" applyNumberFormat="1">
      <alignment horizontal="center" readingOrder="0" shrinkToFit="0" wrapText="1"/>
    </xf>
    <xf borderId="17" fillId="0" fontId="4" numFmtId="0" xfId="0" applyBorder="1" applyFont="1"/>
    <xf borderId="15" fillId="0" fontId="9" numFmtId="0" xfId="0" applyAlignment="1" applyBorder="1" applyFont="1">
      <alignment readingOrder="0"/>
    </xf>
    <xf borderId="18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0" fillId="2" fontId="8" numFmtId="164" xfId="0" applyAlignment="1" applyFont="1" applyNumberFormat="1">
      <alignment horizontal="center" readingOrder="0"/>
    </xf>
    <xf borderId="16" fillId="2" fontId="8" numFmtId="164" xfId="0" applyAlignment="1" applyBorder="1" applyFont="1" applyNumberFormat="1">
      <alignment horizontal="center" readingOrder="0"/>
    </xf>
    <xf borderId="18" fillId="0" fontId="8" numFmtId="164" xfId="0" applyAlignment="1" applyBorder="1" applyFont="1" applyNumberFormat="1">
      <alignment horizontal="center" readingOrder="0" shrinkToFit="0" wrapText="1"/>
    </xf>
    <xf borderId="19" fillId="0" fontId="2" numFmtId="164" xfId="0" applyAlignment="1" applyBorder="1" applyFont="1" applyNumberFormat="1">
      <alignment horizontal="center" shrinkToFit="0" wrapText="1"/>
    </xf>
    <xf borderId="0" fillId="2" fontId="8" numFmtId="164" xfId="0" applyAlignment="1" applyFont="1" applyNumberFormat="1">
      <alignment horizontal="center" readingOrder="0" shrinkToFit="0" wrapText="1"/>
    </xf>
    <xf borderId="16" fillId="0" fontId="8" numFmtId="164" xfId="0" applyAlignment="1" applyBorder="1" applyFont="1" applyNumberFormat="1">
      <alignment horizontal="center" readingOrder="0" shrinkToFit="0" wrapText="1"/>
    </xf>
    <xf borderId="0" fillId="2" fontId="9" numFmtId="164" xfId="0" applyAlignment="1" applyFont="1" applyNumberFormat="1">
      <alignment horizontal="center" readingOrder="0"/>
    </xf>
    <xf borderId="16" fillId="0" fontId="9" numFmtId="164" xfId="0" applyAlignment="1" applyBorder="1" applyFont="1" applyNumberFormat="1">
      <alignment horizontal="center" readingOrder="0"/>
    </xf>
    <xf borderId="18" fillId="0" fontId="9" numFmtId="164" xfId="0" applyAlignment="1" applyBorder="1" applyFont="1" applyNumberFormat="1">
      <alignment horizontal="center" readingOrder="0"/>
    </xf>
    <xf borderId="0" fillId="2" fontId="7" numFmtId="164" xfId="0" applyAlignment="1" applyFont="1" applyNumberFormat="1">
      <alignment horizontal="center" readingOrder="0" shrinkToFit="0" wrapText="1"/>
    </xf>
    <xf borderId="16" fillId="3" fontId="7" numFmtId="164" xfId="0" applyAlignment="1" applyBorder="1" applyFont="1" applyNumberFormat="1">
      <alignment horizontal="center" readingOrder="0" shrinkToFit="0" wrapText="1"/>
    </xf>
    <xf borderId="14" fillId="0" fontId="9" numFmtId="0" xfId="0" applyBorder="1" applyFont="1"/>
    <xf borderId="16" fillId="0" fontId="8" numFmtId="164" xfId="0" applyAlignment="1" applyBorder="1" applyFont="1" applyNumberFormat="1">
      <alignment horizontal="center" readingOrder="0"/>
    </xf>
    <xf borderId="18" fillId="0" fontId="8" numFmtId="164" xfId="0" applyAlignment="1" applyBorder="1" applyFont="1" applyNumberFormat="1">
      <alignment horizontal="center" readingOrder="0"/>
    </xf>
    <xf borderId="20" fillId="0" fontId="8" numFmtId="164" xfId="0" applyAlignment="1" applyBorder="1" applyFont="1" applyNumberFormat="1">
      <alignment horizontal="center" readingOrder="0"/>
    </xf>
    <xf borderId="21" fillId="0" fontId="4" numFmtId="0" xfId="0" applyBorder="1" applyFont="1"/>
    <xf borderId="22" fillId="0" fontId="4" numFmtId="0" xfId="0" applyBorder="1" applyFont="1"/>
    <xf borderId="23" fillId="0" fontId="8" numFmtId="164" xfId="0" applyAlignment="1" applyBorder="1" applyFont="1" applyNumberFormat="1">
      <alignment horizontal="center" readingOrder="0"/>
    </xf>
    <xf borderId="24" fillId="0" fontId="2" numFmtId="164" xfId="0" applyAlignment="1" applyBorder="1" applyFont="1" applyNumberFormat="1">
      <alignment horizontal="center" shrinkToFit="0" wrapText="1"/>
    </xf>
    <xf borderId="0" fillId="0" fontId="2" numFmtId="49" xfId="0" applyAlignment="1" applyFont="1" applyNumberFormat="1">
      <alignment shrinkToFit="0" wrapText="1"/>
    </xf>
    <xf borderId="0" fillId="0" fontId="10" numFmtId="0" xfId="0" applyAlignment="1" applyFont="1">
      <alignment shrinkToFit="0" wrapText="1"/>
    </xf>
    <xf borderId="1" fillId="0" fontId="11" numFmtId="49" xfId="0" applyBorder="1" applyFont="1" applyNumberFormat="1"/>
    <xf borderId="2" fillId="0" fontId="12" numFmtId="49" xfId="0" applyBorder="1" applyFont="1" applyNumberFormat="1"/>
    <xf borderId="3" fillId="0" fontId="2" numFmtId="49" xfId="0" applyBorder="1" applyFont="1" applyNumberFormat="1"/>
    <xf borderId="0" fillId="0" fontId="8" numFmtId="49" xfId="0" applyFont="1" applyNumberFormat="1"/>
    <xf borderId="0" fillId="0" fontId="8" numFmtId="49" xfId="0" applyAlignment="1" applyFont="1" applyNumberFormat="1">
      <alignment shrinkToFit="0" vertical="top" wrapText="1"/>
    </xf>
    <xf borderId="4" fillId="0" fontId="7" numFmtId="49" xfId="0" applyAlignment="1" applyBorder="1" applyFont="1" applyNumberFormat="1">
      <alignment horizontal="center"/>
    </xf>
    <xf borderId="4" fillId="0" fontId="8" numFmtId="49" xfId="0" applyAlignment="1" applyBorder="1" applyFont="1" applyNumberFormat="1">
      <alignment shrinkToFit="0" wrapText="1"/>
    </xf>
    <xf borderId="0" fillId="0" fontId="8" numFmtId="49" xfId="0" applyAlignment="1" applyFont="1" applyNumberFormat="1">
      <alignment shrinkToFit="0" wrapText="1"/>
    </xf>
    <xf borderId="16" fillId="0" fontId="7" numFmtId="49" xfId="0" applyAlignment="1" applyBorder="1" applyFont="1" applyNumberFormat="1">
      <alignment shrinkToFit="0" wrapText="1"/>
    </xf>
    <xf borderId="18" fillId="0" fontId="8" numFmtId="49" xfId="0" applyAlignment="1" applyBorder="1" applyFont="1" applyNumberFormat="1">
      <alignment horizontal="center" shrinkToFit="0" wrapText="1"/>
    </xf>
    <xf borderId="18" fillId="0" fontId="13" numFmtId="49" xfId="0" applyAlignment="1" applyBorder="1" applyFont="1" applyNumberFormat="1">
      <alignment horizontal="center" shrinkToFit="0" wrapText="1"/>
    </xf>
    <xf borderId="16" fillId="2" fontId="8" numFmtId="49" xfId="0" applyBorder="1" applyFont="1" applyNumberFormat="1"/>
    <xf borderId="18" fillId="0" fontId="2" numFmtId="49" xfId="0" applyAlignment="1" applyBorder="1" applyFont="1" applyNumberFormat="1">
      <alignment horizontal="center" shrinkToFit="0" wrapText="1"/>
    </xf>
    <xf borderId="16" fillId="0" fontId="8" numFmtId="49" xfId="0" applyAlignment="1" applyBorder="1" applyFont="1" applyNumberFormat="1">
      <alignment shrinkToFit="0" wrapText="1"/>
    </xf>
    <xf borderId="16" fillId="0" fontId="8" numFmtId="49" xfId="0" applyBorder="1" applyFont="1" applyNumberFormat="1"/>
    <xf borderId="18" fillId="0" fontId="8" numFmtId="49" xfId="0" applyAlignment="1" applyBorder="1" applyFont="1" applyNumberFormat="1">
      <alignment horizontal="center"/>
    </xf>
    <xf borderId="18" fillId="0" fontId="2" numFmtId="49" xfId="0" applyAlignment="1" applyBorder="1" applyFont="1" applyNumberFormat="1">
      <alignment horizontal="center"/>
    </xf>
    <xf borderId="16" fillId="0" fontId="7" numFmtId="49" xfId="0" applyBorder="1" applyFont="1" applyNumberFormat="1"/>
    <xf borderId="4" fillId="0" fontId="8" numFmtId="49" xfId="0" applyBorder="1" applyFont="1" applyNumberFormat="1"/>
    <xf borderId="7" fillId="0" fontId="2" numFmtId="49" xfId="0" applyBorder="1" applyFont="1" applyNumberFormat="1"/>
    <xf borderId="8" fillId="0" fontId="2" numFmtId="4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4.5"/>
    <col customWidth="1" min="4" max="4" width="5.25"/>
    <col customWidth="1" min="5" max="5" width="18.38"/>
    <col customWidth="1" min="6" max="6" width="15.5"/>
    <col customWidth="1" min="7" max="7" width="16.63"/>
    <col customWidth="1" min="8" max="8" width="13.88"/>
    <col customWidth="1" min="9" max="9" width="23.75"/>
    <col customWidth="1" min="10" max="29" width="14.38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</row>
    <row r="2" ht="15.75" customHeight="1">
      <c r="A2" s="1"/>
      <c r="B2" s="1"/>
      <c r="C2" s="2"/>
      <c r="D2" s="2"/>
      <c r="E2" s="2"/>
      <c r="F2" s="2"/>
      <c r="G2" s="2"/>
      <c r="H2" s="2"/>
      <c r="I2" s="2"/>
    </row>
    <row r="3" ht="15.75" customHeight="1">
      <c r="A3" s="1"/>
      <c r="B3" s="1"/>
      <c r="C3" s="2"/>
      <c r="D3" s="2"/>
      <c r="E3" s="2"/>
      <c r="F3" s="2"/>
      <c r="G3" s="2"/>
      <c r="H3" s="2"/>
      <c r="I3" s="2"/>
    </row>
    <row r="4" ht="37.5" customHeight="1">
      <c r="A4" s="3"/>
      <c r="B4" s="4" t="s">
        <v>0</v>
      </c>
      <c r="C4" s="5"/>
      <c r="D4" s="5"/>
      <c r="E4" s="5"/>
      <c r="F4" s="5"/>
      <c r="G4" s="6"/>
      <c r="H4" s="2"/>
      <c r="I4" s="2"/>
    </row>
    <row r="5" ht="15.75" customHeight="1">
      <c r="A5" s="7"/>
      <c r="B5" s="8" t="s">
        <v>1</v>
      </c>
      <c r="C5" s="9" t="s">
        <v>2</v>
      </c>
      <c r="G5" s="10"/>
      <c r="H5" s="2"/>
      <c r="I5" s="2"/>
    </row>
    <row r="6" ht="15.75" customHeight="1">
      <c r="A6" s="11"/>
      <c r="B6" s="12" t="s">
        <v>3</v>
      </c>
      <c r="C6" s="13" t="s">
        <v>4</v>
      </c>
      <c r="G6" s="14"/>
      <c r="H6" s="2"/>
      <c r="I6" s="2"/>
    </row>
    <row r="7" ht="15.75" customHeight="1">
      <c r="A7" s="7"/>
      <c r="B7" s="15"/>
      <c r="C7" s="2"/>
      <c r="D7" s="2"/>
      <c r="E7" s="2"/>
      <c r="F7" s="2"/>
      <c r="G7" s="14"/>
      <c r="H7" s="2"/>
      <c r="I7" s="2"/>
    </row>
    <row r="8" ht="15.75" customHeight="1">
      <c r="A8" s="11"/>
      <c r="B8" s="12" t="s">
        <v>5</v>
      </c>
      <c r="C8" s="16" t="s">
        <v>6</v>
      </c>
      <c r="G8" s="10"/>
      <c r="H8" s="2"/>
      <c r="I8" s="2"/>
    </row>
    <row r="9" ht="15.75" customHeight="1">
      <c r="A9" s="7"/>
      <c r="B9" s="15"/>
      <c r="G9" s="10"/>
      <c r="H9" s="2"/>
      <c r="I9" s="2"/>
    </row>
    <row r="10" ht="15.75" customHeight="1">
      <c r="A10" s="7"/>
      <c r="B10" s="17"/>
      <c r="C10" s="18"/>
      <c r="D10" s="18"/>
      <c r="E10" s="18"/>
      <c r="F10" s="18"/>
      <c r="G10" s="19"/>
      <c r="H10" s="2"/>
      <c r="I10" s="2"/>
    </row>
    <row r="11" ht="15.75" customHeight="1">
      <c r="A11" s="20"/>
      <c r="B11" s="21"/>
      <c r="E11" s="21"/>
      <c r="F11" s="21"/>
      <c r="G11" s="2"/>
      <c r="H11" s="2"/>
      <c r="I11" s="2"/>
      <c r="K11" s="22"/>
    </row>
    <row r="12" ht="42.0" customHeight="1">
      <c r="A12" s="23"/>
      <c r="B12" s="24" t="s">
        <v>7</v>
      </c>
      <c r="C12" s="25"/>
      <c r="D12" s="26"/>
      <c r="E12" s="27" t="s">
        <v>8</v>
      </c>
      <c r="F12" s="28" t="s">
        <v>9</v>
      </c>
      <c r="G12" s="2"/>
      <c r="H12" s="2"/>
      <c r="I12" s="2"/>
      <c r="J12" s="29" t="s">
        <v>10</v>
      </c>
      <c r="K12" s="30"/>
      <c r="L12" s="30"/>
      <c r="M12" s="30"/>
      <c r="N12" s="31"/>
    </row>
    <row r="13" ht="15.75" customHeight="1">
      <c r="A13" s="32"/>
      <c r="B13" s="33" t="s">
        <v>11</v>
      </c>
      <c r="C13" s="30"/>
      <c r="D13" s="30"/>
      <c r="E13" s="30"/>
      <c r="F13" s="34"/>
      <c r="G13" s="2"/>
      <c r="H13" s="2"/>
      <c r="I13" s="2"/>
      <c r="J13" s="35" t="s">
        <v>12</v>
      </c>
      <c r="K13" s="36" t="s">
        <v>13</v>
      </c>
      <c r="L13" s="36" t="s">
        <v>14</v>
      </c>
      <c r="M13" s="36" t="s">
        <v>15</v>
      </c>
      <c r="N13" s="36" t="s">
        <v>16</v>
      </c>
      <c r="P13" s="37"/>
    </row>
    <row r="14" ht="15.75" customHeight="1">
      <c r="A14" s="38"/>
      <c r="B14" s="39" t="s">
        <v>17</v>
      </c>
      <c r="C14" s="30"/>
      <c r="D14" s="31"/>
      <c r="E14" s="40">
        <f t="shared" ref="E14:E15" si="1">3.5*2</f>
        <v>7</v>
      </c>
      <c r="F14" s="41">
        <f t="shared" ref="F14:F18" si="2">average(J14:N14)</f>
        <v>7.8</v>
      </c>
      <c r="G14" s="2"/>
      <c r="H14" s="2"/>
      <c r="I14" s="2"/>
      <c r="J14" s="35">
        <v>6.0</v>
      </c>
      <c r="K14" s="36">
        <v>8.0</v>
      </c>
      <c r="L14" s="36">
        <v>7.0</v>
      </c>
      <c r="M14" s="36">
        <v>10.0</v>
      </c>
      <c r="N14" s="36">
        <v>8.0</v>
      </c>
    </row>
    <row r="15" ht="15.75" customHeight="1">
      <c r="A15" s="42"/>
      <c r="B15" s="43" t="s">
        <v>18</v>
      </c>
      <c r="C15" s="30"/>
      <c r="D15" s="31"/>
      <c r="E15" s="40">
        <f t="shared" si="1"/>
        <v>7</v>
      </c>
      <c r="F15" s="41">
        <f t="shared" si="2"/>
        <v>7.4</v>
      </c>
      <c r="G15" s="2"/>
      <c r="H15" s="2"/>
      <c r="I15" s="2"/>
      <c r="J15" s="35">
        <v>8.0</v>
      </c>
      <c r="K15" s="36">
        <v>5.0</v>
      </c>
      <c r="L15" s="36">
        <v>7.0</v>
      </c>
      <c r="M15" s="36">
        <v>10.0</v>
      </c>
      <c r="N15" s="36">
        <v>7.0</v>
      </c>
    </row>
    <row r="16" ht="15.75" customHeight="1">
      <c r="A16" s="42"/>
      <c r="B16" s="43" t="s">
        <v>19</v>
      </c>
      <c r="C16" s="30"/>
      <c r="D16" s="31"/>
      <c r="E16" s="40">
        <f>4.2*2</f>
        <v>8.4</v>
      </c>
      <c r="F16" s="41">
        <f t="shared" si="2"/>
        <v>8.4</v>
      </c>
      <c r="G16" s="2"/>
      <c r="H16" s="2"/>
      <c r="I16" s="2"/>
      <c r="J16" s="35">
        <v>5.0</v>
      </c>
      <c r="K16" s="36">
        <v>9.0</v>
      </c>
      <c r="L16" s="36">
        <v>9.0</v>
      </c>
      <c r="M16" s="36">
        <v>10.0</v>
      </c>
      <c r="N16" s="36">
        <v>9.0</v>
      </c>
    </row>
    <row r="17" ht="15.75" customHeight="1">
      <c r="A17" s="44"/>
      <c r="B17" s="45" t="s">
        <v>20</v>
      </c>
      <c r="C17" s="30"/>
      <c r="D17" s="31"/>
      <c r="E17" s="46">
        <f>4*2</f>
        <v>8</v>
      </c>
      <c r="F17" s="41">
        <f t="shared" si="2"/>
        <v>6.6</v>
      </c>
      <c r="J17" s="35">
        <v>5.0</v>
      </c>
      <c r="K17" s="36">
        <v>9.0</v>
      </c>
      <c r="L17" s="36">
        <v>9.0</v>
      </c>
      <c r="M17" s="36">
        <v>5.0</v>
      </c>
      <c r="N17" s="36">
        <v>5.0</v>
      </c>
    </row>
    <row r="18" ht="15.75" customHeight="1">
      <c r="A18" s="44"/>
      <c r="B18" s="45" t="s">
        <v>21</v>
      </c>
      <c r="C18" s="30"/>
      <c r="D18" s="31"/>
      <c r="E18" s="46">
        <f>2.3*2</f>
        <v>4.6</v>
      </c>
      <c r="F18" s="41">
        <f t="shared" si="2"/>
        <v>4.2</v>
      </c>
      <c r="J18" s="35">
        <v>5.0</v>
      </c>
      <c r="K18" s="36">
        <v>1.0</v>
      </c>
      <c r="L18" s="36">
        <v>5.0</v>
      </c>
      <c r="M18" s="36">
        <v>5.0</v>
      </c>
      <c r="N18" s="36">
        <v>5.0</v>
      </c>
    </row>
    <row r="19" ht="15.75" customHeight="1">
      <c r="A19" s="47"/>
      <c r="B19" s="48" t="s">
        <v>22</v>
      </c>
      <c r="C19" s="30"/>
      <c r="D19" s="30"/>
      <c r="E19" s="30"/>
      <c r="F19" s="34"/>
      <c r="G19" s="2"/>
      <c r="H19" s="2"/>
      <c r="I19" s="2"/>
      <c r="J19" s="49"/>
      <c r="K19" s="30"/>
      <c r="L19" s="30"/>
      <c r="M19" s="30"/>
      <c r="N19" s="31"/>
    </row>
    <row r="20" ht="15.75" customHeight="1">
      <c r="A20" s="38"/>
      <c r="B20" s="50" t="s">
        <v>23</v>
      </c>
      <c r="C20" s="30"/>
      <c r="D20" s="31"/>
      <c r="E20" s="51">
        <f>3.2*2</f>
        <v>6.4</v>
      </c>
      <c r="F20" s="41">
        <f t="shared" ref="F20:F22" si="3">average(J20:N20)</f>
        <v>9.2</v>
      </c>
      <c r="G20" s="2"/>
      <c r="H20" s="2"/>
      <c r="I20" s="2"/>
      <c r="J20" s="35">
        <v>10.0</v>
      </c>
      <c r="K20" s="36">
        <v>8.0</v>
      </c>
      <c r="L20" s="36">
        <v>8.0</v>
      </c>
      <c r="M20" s="36">
        <v>10.0</v>
      </c>
      <c r="N20" s="36">
        <v>10.0</v>
      </c>
    </row>
    <row r="21" ht="15.75" customHeight="1">
      <c r="A21" s="38"/>
      <c r="B21" s="50" t="s">
        <v>24</v>
      </c>
      <c r="C21" s="30"/>
      <c r="D21" s="31"/>
      <c r="E21" s="51">
        <f>4.1*2</f>
        <v>8.2</v>
      </c>
      <c r="F21" s="41">
        <f t="shared" si="3"/>
        <v>8.6</v>
      </c>
      <c r="G21" s="2"/>
      <c r="H21" s="2"/>
      <c r="I21" s="2"/>
      <c r="J21" s="35">
        <v>10.0</v>
      </c>
      <c r="K21" s="36">
        <v>10.0</v>
      </c>
      <c r="L21" s="36">
        <v>8.0</v>
      </c>
      <c r="M21" s="36">
        <v>6.0</v>
      </c>
      <c r="N21" s="36">
        <v>9.0</v>
      </c>
    </row>
    <row r="22" ht="15.75" customHeight="1">
      <c r="A22" s="38"/>
      <c r="B22" s="50" t="s">
        <v>25</v>
      </c>
      <c r="C22" s="30"/>
      <c r="D22" s="31"/>
      <c r="E22" s="51">
        <f>4.4*2</f>
        <v>8.8</v>
      </c>
      <c r="F22" s="41">
        <f t="shared" si="3"/>
        <v>7</v>
      </c>
      <c r="G22" s="2"/>
      <c r="H22" s="2"/>
      <c r="I22" s="2"/>
      <c r="J22" s="35">
        <v>4.0</v>
      </c>
      <c r="K22" s="36">
        <v>10.0</v>
      </c>
      <c r="L22" s="36">
        <v>10.0</v>
      </c>
      <c r="M22" s="36">
        <v>3.0</v>
      </c>
      <c r="N22" s="36">
        <v>8.0</v>
      </c>
    </row>
    <row r="23" ht="15.75" customHeight="1">
      <c r="A23" s="47"/>
      <c r="B23" s="48" t="s">
        <v>26</v>
      </c>
      <c r="C23" s="30"/>
      <c r="D23" s="30"/>
      <c r="E23" s="30"/>
      <c r="F23" s="34"/>
      <c r="G23" s="2"/>
      <c r="H23" s="2"/>
      <c r="I23" s="2"/>
      <c r="J23" s="49"/>
      <c r="K23" s="30"/>
      <c r="L23" s="30"/>
      <c r="M23" s="30"/>
      <c r="N23" s="31"/>
    </row>
    <row r="24" ht="15.75" customHeight="1">
      <c r="A24" s="38"/>
      <c r="B24" s="50" t="s">
        <v>27</v>
      </c>
      <c r="C24" s="30"/>
      <c r="D24" s="31"/>
      <c r="E24" s="51">
        <f>3.3*2</f>
        <v>6.6</v>
      </c>
      <c r="F24" s="41">
        <f t="shared" ref="F24:F28" si="4">average(J24:N24)</f>
        <v>2.6</v>
      </c>
      <c r="G24" s="2"/>
      <c r="H24" s="2"/>
      <c r="I24" s="2"/>
      <c r="J24" s="35">
        <v>1.0</v>
      </c>
      <c r="K24" s="36">
        <v>3.0</v>
      </c>
      <c r="L24" s="36">
        <v>7.0</v>
      </c>
      <c r="M24" s="36">
        <v>0.0</v>
      </c>
      <c r="N24" s="36">
        <v>2.0</v>
      </c>
    </row>
    <row r="25" ht="15.75" customHeight="1">
      <c r="A25" s="38"/>
      <c r="B25" s="50" t="s">
        <v>28</v>
      </c>
      <c r="C25" s="30"/>
      <c r="D25" s="31"/>
      <c r="E25" s="51">
        <f>4.8*2</f>
        <v>9.6</v>
      </c>
      <c r="F25" s="41">
        <f t="shared" si="4"/>
        <v>9.4</v>
      </c>
      <c r="G25" s="2"/>
      <c r="H25" s="2"/>
      <c r="I25" s="2"/>
      <c r="J25" s="35">
        <v>7.0</v>
      </c>
      <c r="K25" s="36">
        <v>10.0</v>
      </c>
      <c r="L25" s="36">
        <v>10.0</v>
      </c>
      <c r="M25" s="36">
        <v>10.0</v>
      </c>
      <c r="N25" s="36">
        <v>10.0</v>
      </c>
    </row>
    <row r="26" ht="15.75" customHeight="1">
      <c r="A26" s="38"/>
      <c r="B26" s="50" t="s">
        <v>29</v>
      </c>
      <c r="C26" s="30"/>
      <c r="D26" s="31"/>
      <c r="E26" s="51">
        <f>3.5*2</f>
        <v>7</v>
      </c>
      <c r="F26" s="41">
        <f t="shared" si="4"/>
        <v>2.8</v>
      </c>
      <c r="G26" s="2"/>
      <c r="H26" s="2"/>
      <c r="I26" s="2"/>
      <c r="J26" s="35">
        <v>1.0</v>
      </c>
      <c r="K26" s="36">
        <v>4.0</v>
      </c>
      <c r="L26" s="36">
        <v>7.0</v>
      </c>
      <c r="M26" s="36">
        <v>1.0</v>
      </c>
      <c r="N26" s="36">
        <v>1.0</v>
      </c>
    </row>
    <row r="27" ht="15.75" customHeight="1">
      <c r="A27" s="38"/>
      <c r="B27" s="50" t="s">
        <v>30</v>
      </c>
      <c r="C27" s="30"/>
      <c r="D27" s="31"/>
      <c r="E27" s="51">
        <f>3.2*2</f>
        <v>6.4</v>
      </c>
      <c r="F27" s="41">
        <f t="shared" si="4"/>
        <v>4.2</v>
      </c>
      <c r="G27" s="2"/>
      <c r="H27" s="2"/>
      <c r="I27" s="2"/>
      <c r="J27" s="35">
        <v>4.0</v>
      </c>
      <c r="K27" s="36">
        <v>5.0</v>
      </c>
      <c r="L27" s="36">
        <v>6.0</v>
      </c>
      <c r="M27" s="36">
        <v>1.0</v>
      </c>
      <c r="N27" s="36">
        <v>5.0</v>
      </c>
    </row>
    <row r="28" ht="15.75" customHeight="1">
      <c r="A28" s="38"/>
      <c r="B28" s="50" t="s">
        <v>31</v>
      </c>
      <c r="C28" s="30"/>
      <c r="D28" s="31"/>
      <c r="E28" s="51">
        <f>3*2</f>
        <v>6</v>
      </c>
      <c r="F28" s="41">
        <f t="shared" si="4"/>
        <v>5</v>
      </c>
      <c r="G28" s="2"/>
      <c r="H28" s="2"/>
      <c r="I28" s="2"/>
      <c r="J28" s="35">
        <v>6.0</v>
      </c>
      <c r="K28" s="36">
        <v>1.0</v>
      </c>
      <c r="L28" s="36">
        <v>6.0</v>
      </c>
      <c r="M28" s="36">
        <v>5.0</v>
      </c>
      <c r="N28" s="36">
        <v>7.0</v>
      </c>
    </row>
    <row r="29" ht="15.75" customHeight="1">
      <c r="A29" s="47"/>
      <c r="B29" s="48" t="s">
        <v>32</v>
      </c>
      <c r="C29" s="30"/>
      <c r="D29" s="30"/>
      <c r="E29" s="30"/>
      <c r="F29" s="34"/>
      <c r="G29" s="2"/>
      <c r="H29" s="2"/>
      <c r="I29" s="2"/>
      <c r="J29" s="49"/>
      <c r="K29" s="30"/>
      <c r="L29" s="30"/>
      <c r="M29" s="30"/>
      <c r="N29" s="31"/>
    </row>
    <row r="30" ht="15.75" customHeight="1">
      <c r="A30" s="38"/>
      <c r="B30" s="52" t="s">
        <v>33</v>
      </c>
      <c r="C30" s="53"/>
      <c r="D30" s="54"/>
      <c r="E30" s="55">
        <f>3.6*2</f>
        <v>7.2</v>
      </c>
      <c r="F30" s="56">
        <f>average(J30:N30)</f>
        <v>6.4</v>
      </c>
      <c r="G30" s="2"/>
      <c r="H30" s="2"/>
      <c r="I30" s="2"/>
      <c r="J30" s="35">
        <v>6.0</v>
      </c>
      <c r="K30" s="36">
        <v>7.0</v>
      </c>
      <c r="L30" s="36">
        <v>8.0</v>
      </c>
      <c r="M30" s="36">
        <v>5.0</v>
      </c>
      <c r="N30" s="36">
        <v>6.0</v>
      </c>
    </row>
    <row r="31" ht="32.25" customHeight="1">
      <c r="A31" s="57"/>
      <c r="B31" s="57"/>
      <c r="G31" s="57"/>
      <c r="H31" s="57"/>
      <c r="I31" s="57"/>
      <c r="K31" s="37" t="s">
        <v>25</v>
      </c>
    </row>
    <row r="32" ht="31.5" customHeight="1">
      <c r="A32" s="58"/>
      <c r="B32" s="58"/>
      <c r="G32" s="58"/>
      <c r="H32" s="58"/>
      <c r="I32" s="58"/>
      <c r="K32" s="37" t="s">
        <v>34</v>
      </c>
    </row>
    <row r="33" ht="15.75" customHeight="1">
      <c r="K33" s="37" t="s">
        <v>35</v>
      </c>
    </row>
    <row r="34" ht="15.75" customHeight="1">
      <c r="K34" s="37" t="s">
        <v>36</v>
      </c>
    </row>
    <row r="35" ht="15.75" customHeight="1">
      <c r="K35" s="37" t="s">
        <v>19</v>
      </c>
    </row>
    <row r="36" ht="15.75" customHeight="1">
      <c r="K36" s="37" t="s">
        <v>37</v>
      </c>
    </row>
    <row r="37" ht="15.75" customHeight="1">
      <c r="K37" s="37" t="s">
        <v>20</v>
      </c>
    </row>
    <row r="38" ht="15.75" customHeight="1">
      <c r="K38" s="37" t="s">
        <v>38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0">
    <mergeCell ref="C6:F6"/>
    <mergeCell ref="B11:D11"/>
    <mergeCell ref="B12:D12"/>
    <mergeCell ref="B13:F13"/>
    <mergeCell ref="J12:N12"/>
    <mergeCell ref="C5:G5"/>
    <mergeCell ref="C8:G10"/>
    <mergeCell ref="B4:G4"/>
    <mergeCell ref="B14:D14"/>
    <mergeCell ref="B15:D15"/>
    <mergeCell ref="B16:D16"/>
    <mergeCell ref="B17:D17"/>
    <mergeCell ref="B18:D18"/>
    <mergeCell ref="B19:F19"/>
    <mergeCell ref="J19:N19"/>
    <mergeCell ref="B26:D26"/>
    <mergeCell ref="B27:D27"/>
    <mergeCell ref="B28:D28"/>
    <mergeCell ref="B29:F29"/>
    <mergeCell ref="B30:D30"/>
    <mergeCell ref="J29:N29"/>
    <mergeCell ref="B31:F31"/>
    <mergeCell ref="B32:F32"/>
    <mergeCell ref="B20:D20"/>
    <mergeCell ref="B21:D21"/>
    <mergeCell ref="B22:D22"/>
    <mergeCell ref="B23:F23"/>
    <mergeCell ref="B24:D24"/>
    <mergeCell ref="B25:D25"/>
    <mergeCell ref="J23:N23"/>
  </mergeCells>
  <conditionalFormatting sqref="E14:F18 E20:F22 E24:F28 E30:F30">
    <cfRule type="colorScale" priority="1">
      <colorScale>
        <cfvo type="formula" val="6"/>
        <cfvo type="max"/>
        <color rgb="FFFFFFFF"/>
        <color rgb="FF57BB8A"/>
      </colorScale>
    </cfRule>
  </conditionalFormatting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5" width="14.38"/>
    <col customWidth="1" min="6" max="6" width="3.88"/>
    <col customWidth="1" min="7" max="26" width="14.38"/>
  </cols>
  <sheetData>
    <row r="1" ht="15.75" customHeight="1">
      <c r="A1" s="1"/>
      <c r="B1" s="2"/>
      <c r="C1" s="2"/>
      <c r="D1" s="2"/>
      <c r="E1" s="2"/>
      <c r="F1" s="2"/>
    </row>
    <row r="2" ht="37.5" customHeight="1">
      <c r="A2" s="59" t="s">
        <v>39</v>
      </c>
      <c r="B2" s="60" t="s">
        <v>40</v>
      </c>
      <c r="C2" s="5"/>
      <c r="D2" s="5"/>
      <c r="E2" s="5"/>
      <c r="F2" s="61"/>
    </row>
    <row r="3" ht="15.75" customHeight="1">
      <c r="A3" s="15" t="s">
        <v>1</v>
      </c>
      <c r="B3" s="2"/>
      <c r="C3" s="2"/>
      <c r="D3" s="2"/>
      <c r="E3" s="2"/>
      <c r="F3" s="14"/>
    </row>
    <row r="4" ht="15.75" customHeight="1">
      <c r="A4" s="12" t="s">
        <v>3</v>
      </c>
      <c r="B4" s="62" t="s">
        <v>41</v>
      </c>
      <c r="F4" s="14"/>
    </row>
    <row r="5" ht="15.75" customHeight="1">
      <c r="A5" s="15"/>
      <c r="B5" s="2"/>
      <c r="C5" s="2"/>
      <c r="D5" s="2"/>
      <c r="E5" s="2"/>
      <c r="F5" s="14"/>
    </row>
    <row r="6" ht="15.75" customHeight="1">
      <c r="A6" s="12" t="s">
        <v>5</v>
      </c>
      <c r="B6" s="63" t="s">
        <v>42</v>
      </c>
      <c r="F6" s="14"/>
    </row>
    <row r="7" ht="15.75" customHeight="1">
      <c r="A7" s="15"/>
      <c r="F7" s="14"/>
    </row>
    <row r="8" ht="15.75" customHeight="1">
      <c r="A8" s="15"/>
      <c r="F8" s="14"/>
    </row>
    <row r="9" ht="15.75" customHeight="1">
      <c r="A9" s="64" t="s">
        <v>7</v>
      </c>
      <c r="D9" s="21" t="s">
        <v>43</v>
      </c>
      <c r="E9" s="21" t="s">
        <v>44</v>
      </c>
      <c r="F9" s="14"/>
      <c r="H9" s="22"/>
    </row>
    <row r="10" ht="85.5" customHeight="1">
      <c r="A10" s="65"/>
      <c r="D10" s="66" t="s">
        <v>45</v>
      </c>
      <c r="E10" s="66" t="s">
        <v>46</v>
      </c>
      <c r="F10" s="14"/>
      <c r="H10" s="22"/>
    </row>
    <row r="11" ht="15.75" customHeight="1">
      <c r="A11" s="67" t="s">
        <v>47</v>
      </c>
      <c r="B11" s="30"/>
      <c r="C11" s="31"/>
      <c r="D11" s="68"/>
      <c r="E11" s="69"/>
      <c r="F11" s="14"/>
    </row>
    <row r="12" ht="15.75" customHeight="1">
      <c r="A12" s="70" t="s">
        <v>48</v>
      </c>
      <c r="B12" s="30"/>
      <c r="C12" s="31"/>
      <c r="D12" s="68">
        <v>4.0</v>
      </c>
      <c r="E12" s="71" t="s">
        <v>49</v>
      </c>
      <c r="F12" s="14"/>
    </row>
    <row r="13" ht="15.75" customHeight="1">
      <c r="A13" s="72" t="s">
        <v>50</v>
      </c>
      <c r="B13" s="30"/>
      <c r="C13" s="31"/>
      <c r="D13" s="68">
        <v>6.0</v>
      </c>
      <c r="E13" s="71" t="s">
        <v>51</v>
      </c>
      <c r="F13" s="14"/>
    </row>
    <row r="14" ht="15.75" customHeight="1">
      <c r="A14" s="72" t="s">
        <v>52</v>
      </c>
      <c r="B14" s="30"/>
      <c r="C14" s="31"/>
      <c r="D14" s="68">
        <v>3.0</v>
      </c>
      <c r="E14" s="71">
        <v>5.6</v>
      </c>
      <c r="F14" s="14"/>
    </row>
    <row r="15" ht="15.75" customHeight="1">
      <c r="A15" s="67" t="s">
        <v>53</v>
      </c>
      <c r="B15" s="30"/>
      <c r="C15" s="31"/>
      <c r="D15" s="68"/>
      <c r="E15" s="71"/>
      <c r="F15" s="14"/>
    </row>
    <row r="16" ht="15.75" customHeight="1">
      <c r="A16" s="73" t="s">
        <v>54</v>
      </c>
      <c r="B16" s="30"/>
      <c r="C16" s="31"/>
      <c r="D16" s="74">
        <v>1.0</v>
      </c>
      <c r="E16" s="75" t="s">
        <v>55</v>
      </c>
      <c r="F16" s="14"/>
    </row>
    <row r="17" ht="15.75" customHeight="1">
      <c r="A17" s="73" t="s">
        <v>56</v>
      </c>
      <c r="B17" s="30"/>
      <c r="C17" s="31"/>
      <c r="D17" s="74">
        <v>2.0</v>
      </c>
      <c r="E17" s="75" t="s">
        <v>57</v>
      </c>
      <c r="F17" s="14"/>
    </row>
    <row r="18" ht="15.75" customHeight="1">
      <c r="A18" s="73" t="s">
        <v>58</v>
      </c>
      <c r="B18" s="30"/>
      <c r="C18" s="31"/>
      <c r="D18" s="74">
        <v>6.0</v>
      </c>
      <c r="E18" s="75" t="s">
        <v>51</v>
      </c>
      <c r="F18" s="14"/>
    </row>
    <row r="19" ht="15.75" customHeight="1">
      <c r="A19" s="76" t="s">
        <v>59</v>
      </c>
      <c r="B19" s="30"/>
      <c r="C19" s="31"/>
      <c r="D19" s="74"/>
      <c r="E19" s="75"/>
      <c r="F19" s="14"/>
    </row>
    <row r="20" ht="15.75" customHeight="1">
      <c r="A20" s="73" t="s">
        <v>60</v>
      </c>
      <c r="B20" s="30"/>
      <c r="C20" s="31"/>
      <c r="D20" s="74">
        <v>5.0</v>
      </c>
      <c r="E20" s="75" t="s">
        <v>61</v>
      </c>
      <c r="F20" s="14"/>
    </row>
    <row r="21" ht="15.75" customHeight="1">
      <c r="A21" s="73" t="s">
        <v>62</v>
      </c>
      <c r="B21" s="30"/>
      <c r="C21" s="31"/>
      <c r="D21" s="74">
        <v>5.0</v>
      </c>
      <c r="E21" s="75" t="s">
        <v>61</v>
      </c>
      <c r="F21" s="14"/>
    </row>
    <row r="22" ht="15.75" customHeight="1">
      <c r="A22" s="73" t="s">
        <v>63</v>
      </c>
      <c r="B22" s="30"/>
      <c r="C22" s="31"/>
      <c r="D22" s="74">
        <v>4.0</v>
      </c>
      <c r="E22" s="75" t="s">
        <v>49</v>
      </c>
      <c r="F22" s="14"/>
    </row>
    <row r="23" ht="15.75" customHeight="1">
      <c r="A23" s="73" t="s">
        <v>64</v>
      </c>
      <c r="B23" s="30"/>
      <c r="C23" s="31"/>
      <c r="D23" s="74">
        <v>6.0</v>
      </c>
      <c r="E23" s="75" t="s">
        <v>51</v>
      </c>
      <c r="F23" s="14"/>
    </row>
    <row r="24" ht="15.75" customHeight="1">
      <c r="A24" s="77" t="s">
        <v>65</v>
      </c>
      <c r="D24" s="74" t="s">
        <v>66</v>
      </c>
      <c r="E24" s="75" t="s">
        <v>67</v>
      </c>
      <c r="F24" s="14"/>
    </row>
    <row r="25" ht="15.75" customHeight="1">
      <c r="A25" s="73" t="s">
        <v>68</v>
      </c>
      <c r="B25" s="30"/>
      <c r="C25" s="31"/>
      <c r="D25" s="74" t="s">
        <v>69</v>
      </c>
      <c r="E25" s="75" t="s">
        <v>70</v>
      </c>
      <c r="F25" s="14"/>
    </row>
    <row r="26" ht="15.75" customHeight="1">
      <c r="A26" s="76" t="s">
        <v>71</v>
      </c>
      <c r="B26" s="30"/>
      <c r="C26" s="31"/>
      <c r="D26" s="74"/>
      <c r="E26" s="75"/>
      <c r="F26" s="14"/>
    </row>
    <row r="27" ht="15.75" customHeight="1">
      <c r="A27" s="73" t="s">
        <v>72</v>
      </c>
      <c r="B27" s="30"/>
      <c r="C27" s="31"/>
      <c r="D27" s="74">
        <v>7.0</v>
      </c>
      <c r="E27" s="75" t="s">
        <v>73</v>
      </c>
      <c r="F27" s="14"/>
    </row>
    <row r="28" ht="15.75" customHeight="1">
      <c r="A28" s="17"/>
      <c r="B28" s="78"/>
      <c r="C28" s="78"/>
      <c r="D28" s="78"/>
      <c r="E28" s="78"/>
      <c r="F28" s="79"/>
    </row>
    <row r="29" ht="15.75" customHeight="1">
      <c r="A29" s="2"/>
      <c r="B29" s="2"/>
      <c r="C29" s="2"/>
      <c r="D29" s="2"/>
      <c r="E29" s="2"/>
      <c r="F29" s="2"/>
    </row>
    <row r="30" ht="15.75" customHeight="1">
      <c r="A30" s="2"/>
      <c r="B30" s="2"/>
      <c r="C30" s="2"/>
      <c r="D30" s="2"/>
      <c r="E30" s="2"/>
      <c r="F30" s="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B2:E2"/>
    <mergeCell ref="B4:E4"/>
    <mergeCell ref="B6:E8"/>
    <mergeCell ref="A9:C9"/>
    <mergeCell ref="A10:C10"/>
    <mergeCell ref="A11:C11"/>
    <mergeCell ref="A12:C12"/>
    <mergeCell ref="A20:C20"/>
    <mergeCell ref="A21:C21"/>
    <mergeCell ref="A22:C22"/>
    <mergeCell ref="A23:C23"/>
    <mergeCell ref="A24:C24"/>
    <mergeCell ref="A25:C25"/>
    <mergeCell ref="A26:C26"/>
    <mergeCell ref="A27:C27"/>
    <mergeCell ref="A13:C13"/>
    <mergeCell ref="A14:C14"/>
    <mergeCell ref="A15:C15"/>
    <mergeCell ref="A16:C16"/>
    <mergeCell ref="A17:C17"/>
    <mergeCell ref="A18:C18"/>
    <mergeCell ref="A19:C1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2017-09-14T04:56:30Z</dcterms:created>
  <dc:creator>Gloria Shin</dc:creator>
</cp:coreProperties>
</file>