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ORGANIZED DATA" sheetId="2" r:id="rId5"/>
    <sheet state="visible" name="FOR GRAPHIC" sheetId="3" r:id="rId6"/>
  </sheets>
  <definedNames/>
  <calcPr/>
</workbook>
</file>

<file path=xl/sharedStrings.xml><?xml version="1.0" encoding="utf-8"?>
<sst xmlns="http://schemas.openxmlformats.org/spreadsheetml/2006/main" count="92" uniqueCount="16">
  <si>
    <t>Without Vein</t>
  </si>
  <si>
    <t>TOP</t>
  </si>
  <si>
    <t>MIDDLE</t>
  </si>
  <si>
    <t>BOTTOM</t>
  </si>
  <si>
    <t>With Vein</t>
  </si>
  <si>
    <t>RETURN</t>
  </si>
  <si>
    <t>PRESSURE</t>
  </si>
  <si>
    <t>INLET</t>
  </si>
  <si>
    <t>OUTLET</t>
  </si>
  <si>
    <t>inH2O</t>
  </si>
  <si>
    <t>WITHOUT VEIN (FPM)</t>
  </si>
  <si>
    <t>FPM to M/s</t>
  </si>
  <si>
    <t>m/s per fpm</t>
  </si>
  <si>
    <t>WITHOUT VEIN (m/s)</t>
  </si>
  <si>
    <t>Red if less than the velocity of non Vein</t>
  </si>
  <si>
    <t>NO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</si>
</sst>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3" numFmtId="2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  <c r="B3" s="1">
        <v>100.0</v>
      </c>
      <c r="C3" s="1">
        <v>845.0</v>
      </c>
      <c r="D3" s="1">
        <v>710.0</v>
      </c>
      <c r="E3" s="1">
        <v>492.0</v>
      </c>
      <c r="F3" s="1">
        <v>52.0</v>
      </c>
      <c r="G3" s="1">
        <v>70.0</v>
      </c>
      <c r="H3" s="1">
        <v>80.0</v>
      </c>
      <c r="I3" s="1">
        <v>55.0</v>
      </c>
      <c r="J3" s="1">
        <v>20.0</v>
      </c>
      <c r="K3" s="1">
        <v>62.0</v>
      </c>
      <c r="L3" s="1">
        <v>160.0</v>
      </c>
    </row>
    <row r="4">
      <c r="B4" s="1">
        <v>110.0</v>
      </c>
      <c r="C4" s="1">
        <v>735.0</v>
      </c>
      <c r="D4" s="1">
        <v>640.0</v>
      </c>
      <c r="E4" s="1">
        <v>470.0</v>
      </c>
      <c r="F4" s="1">
        <v>45.0</v>
      </c>
      <c r="G4" s="1">
        <v>70.0</v>
      </c>
      <c r="H4" s="1">
        <v>50.0</v>
      </c>
      <c r="I4" s="1">
        <v>33.0</v>
      </c>
      <c r="J4" s="1">
        <v>33.0</v>
      </c>
      <c r="K4" s="1">
        <v>60.0</v>
      </c>
      <c r="L4" s="1">
        <v>162.0</v>
      </c>
    </row>
    <row r="6">
      <c r="A6" s="1" t="s">
        <v>2</v>
      </c>
      <c r="B6" s="1">
        <v>680.0</v>
      </c>
      <c r="C6" s="1">
        <v>80.0</v>
      </c>
      <c r="D6" s="1">
        <v>50.0</v>
      </c>
      <c r="E6" s="1">
        <v>50.0</v>
      </c>
      <c r="F6" s="1">
        <v>106.0</v>
      </c>
      <c r="G6" s="1">
        <v>50.0</v>
      </c>
      <c r="H6" s="1">
        <v>47.0</v>
      </c>
      <c r="I6" s="1">
        <v>20.0</v>
      </c>
      <c r="J6" s="1">
        <v>60.0</v>
      </c>
      <c r="K6" s="1">
        <v>10.0</v>
      </c>
      <c r="L6" s="1">
        <v>57.0</v>
      </c>
    </row>
    <row r="7">
      <c r="B7" s="1">
        <v>780.0</v>
      </c>
      <c r="C7" s="1">
        <v>82.0</v>
      </c>
      <c r="D7" s="1">
        <v>57.0</v>
      </c>
      <c r="E7" s="1">
        <v>56.0</v>
      </c>
      <c r="F7" s="1">
        <v>128.0</v>
      </c>
      <c r="G7" s="1">
        <v>30.0</v>
      </c>
      <c r="H7" s="1">
        <v>65.0</v>
      </c>
      <c r="I7" s="1">
        <v>30.0</v>
      </c>
      <c r="J7" s="1">
        <v>26.0</v>
      </c>
      <c r="K7" s="1">
        <v>90.0</v>
      </c>
      <c r="L7" s="1">
        <v>47.0</v>
      </c>
    </row>
    <row r="9">
      <c r="A9" s="1" t="s">
        <v>3</v>
      </c>
      <c r="B9" s="1">
        <v>100.0</v>
      </c>
      <c r="C9" s="1">
        <v>950.0</v>
      </c>
      <c r="D9" s="1">
        <v>970.0</v>
      </c>
      <c r="E9" s="1">
        <v>390.0</v>
      </c>
      <c r="F9" s="1">
        <v>124.0</v>
      </c>
      <c r="G9" s="1">
        <v>36.0</v>
      </c>
      <c r="H9" s="1">
        <v>11.0</v>
      </c>
      <c r="I9" s="1">
        <v>35.0</v>
      </c>
      <c r="J9" s="1">
        <v>152.0</v>
      </c>
      <c r="K9" s="1">
        <v>275.0</v>
      </c>
      <c r="L9" s="1">
        <v>365.0</v>
      </c>
    </row>
    <row r="10">
      <c r="B10" s="1">
        <v>168.0</v>
      </c>
      <c r="C10" s="1">
        <v>1186.0</v>
      </c>
      <c r="D10" s="1">
        <v>1021.0</v>
      </c>
      <c r="E10" s="1">
        <v>401.0</v>
      </c>
      <c r="F10" s="1">
        <v>148.0</v>
      </c>
      <c r="G10" s="1">
        <v>50.0</v>
      </c>
      <c r="H10" s="1">
        <v>13.0</v>
      </c>
      <c r="I10" s="1">
        <v>32.0</v>
      </c>
      <c r="J10" s="1">
        <v>139.0</v>
      </c>
      <c r="K10" s="1">
        <v>277.0</v>
      </c>
      <c r="L10" s="1">
        <v>341.0</v>
      </c>
    </row>
    <row r="12">
      <c r="A12" s="1" t="s">
        <v>4</v>
      </c>
    </row>
    <row r="13">
      <c r="A13" s="1" t="s">
        <v>1</v>
      </c>
      <c r="B13" s="1">
        <v>613.0</v>
      </c>
      <c r="C13" s="1">
        <v>668.0</v>
      </c>
      <c r="D13" s="1">
        <v>727.0</v>
      </c>
      <c r="E13" s="1">
        <v>558.0</v>
      </c>
      <c r="F13" s="1">
        <v>210.0</v>
      </c>
      <c r="G13" s="1">
        <v>33.0</v>
      </c>
      <c r="H13" s="1">
        <v>57.0</v>
      </c>
      <c r="I13" s="1">
        <v>47.0</v>
      </c>
      <c r="J13" s="1">
        <v>19.0</v>
      </c>
      <c r="K13" s="1">
        <v>76.0</v>
      </c>
      <c r="L13" s="1">
        <v>44.0</v>
      </c>
    </row>
    <row r="14">
      <c r="B14" s="1">
        <v>541.0</v>
      </c>
      <c r="C14" s="1">
        <v>617.0</v>
      </c>
      <c r="D14" s="1">
        <v>667.0</v>
      </c>
      <c r="E14" s="1">
        <v>507.0</v>
      </c>
      <c r="F14" s="1">
        <v>141.0</v>
      </c>
      <c r="G14" s="1">
        <v>33.0</v>
      </c>
      <c r="H14" s="1">
        <v>49.0</v>
      </c>
      <c r="I14" s="1">
        <v>30.5</v>
      </c>
      <c r="J14" s="1">
        <v>17.0</v>
      </c>
      <c r="K14" s="1">
        <v>72.0</v>
      </c>
      <c r="L14" s="1">
        <v>43.0</v>
      </c>
    </row>
    <row r="16">
      <c r="A16" s="1" t="s">
        <v>3</v>
      </c>
      <c r="B16" s="1">
        <v>483.0</v>
      </c>
      <c r="C16" s="1">
        <v>873.0</v>
      </c>
      <c r="D16" s="1">
        <v>71.0</v>
      </c>
      <c r="E16" s="1">
        <v>9.0</v>
      </c>
      <c r="F16" s="1">
        <v>5.0</v>
      </c>
      <c r="G16" s="1">
        <v>32.0</v>
      </c>
      <c r="H16" s="1">
        <v>11.0</v>
      </c>
      <c r="I16" s="1">
        <v>3.5</v>
      </c>
      <c r="J16" s="1">
        <v>39.0</v>
      </c>
      <c r="K16" s="1">
        <v>151.0</v>
      </c>
      <c r="L16" s="1">
        <v>158.0</v>
      </c>
    </row>
    <row r="17">
      <c r="B17" s="1">
        <v>456.0</v>
      </c>
      <c r="C17" s="1">
        <v>926.0</v>
      </c>
      <c r="D17" s="1">
        <v>67.0</v>
      </c>
      <c r="E17" s="1">
        <v>21.0</v>
      </c>
      <c r="F17" s="1">
        <v>24.0</v>
      </c>
      <c r="G17" s="1">
        <v>35.0</v>
      </c>
      <c r="H17" s="1">
        <v>6.0</v>
      </c>
      <c r="I17" s="1">
        <v>5.0</v>
      </c>
      <c r="J17" s="1">
        <v>31.0</v>
      </c>
      <c r="K17" s="1">
        <v>133.0</v>
      </c>
      <c r="L17" s="1">
        <v>181.0</v>
      </c>
    </row>
    <row r="19">
      <c r="A19" s="1" t="s">
        <v>5</v>
      </c>
      <c r="B19" s="1">
        <v>445.0</v>
      </c>
      <c r="C19" s="1">
        <v>35.0</v>
      </c>
      <c r="D19" s="1">
        <v>34.0</v>
      </c>
      <c r="E19" s="1">
        <v>1.0</v>
      </c>
    </row>
    <row r="21">
      <c r="A21" s="1" t="s">
        <v>6</v>
      </c>
      <c r="B21" s="1" t="s">
        <v>7</v>
      </c>
      <c r="C21" s="1" t="s">
        <v>8</v>
      </c>
    </row>
    <row r="22">
      <c r="A22" s="1" t="s">
        <v>9</v>
      </c>
      <c r="B22" s="1">
        <v>0.05</v>
      </c>
      <c r="C22" s="1">
        <v>-0.16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10</v>
      </c>
    </row>
    <row r="2">
      <c r="N2" s="1" t="s">
        <v>11</v>
      </c>
    </row>
    <row r="3" hidden="1">
      <c r="A3" s="1" t="s">
        <v>1</v>
      </c>
      <c r="B3" s="1">
        <v>100.0</v>
      </c>
      <c r="C3" s="1">
        <v>845.0</v>
      </c>
      <c r="D3" s="1">
        <v>710.0</v>
      </c>
      <c r="E3" s="1">
        <v>492.0</v>
      </c>
      <c r="F3" s="1">
        <v>52.0</v>
      </c>
      <c r="G3" s="1">
        <v>70.0</v>
      </c>
      <c r="H3" s="1">
        <v>80.0</v>
      </c>
      <c r="I3" s="1">
        <v>55.0</v>
      </c>
      <c r="J3" s="1">
        <v>20.0</v>
      </c>
      <c r="K3" s="1">
        <v>62.0</v>
      </c>
      <c r="L3" s="1">
        <v>160.0</v>
      </c>
    </row>
    <row r="4" hidden="1">
      <c r="B4" s="1">
        <v>110.0</v>
      </c>
      <c r="C4" s="1">
        <v>735.0</v>
      </c>
      <c r="D4" s="1">
        <v>640.0</v>
      </c>
      <c r="E4" s="1">
        <v>470.0</v>
      </c>
      <c r="F4" s="1">
        <v>45.0</v>
      </c>
      <c r="G4" s="1">
        <v>70.0</v>
      </c>
      <c r="H4" s="1">
        <v>50.0</v>
      </c>
      <c r="I4" s="1">
        <v>33.0</v>
      </c>
      <c r="J4" s="1">
        <v>33.0</v>
      </c>
      <c r="K4" s="1">
        <v>60.0</v>
      </c>
      <c r="L4" s="1">
        <v>162.0</v>
      </c>
    </row>
    <row r="5">
      <c r="A5" s="1" t="s">
        <v>1</v>
      </c>
      <c r="B5" s="2">
        <f t="shared" ref="B5:L5" si="1">average(B3:B4)</f>
        <v>105</v>
      </c>
      <c r="C5" s="2">
        <f t="shared" si="1"/>
        <v>790</v>
      </c>
      <c r="D5" s="2">
        <f t="shared" si="1"/>
        <v>675</v>
      </c>
      <c r="E5" s="2">
        <f t="shared" si="1"/>
        <v>481</v>
      </c>
      <c r="F5" s="2">
        <f t="shared" si="1"/>
        <v>48.5</v>
      </c>
      <c r="G5" s="2">
        <f t="shared" si="1"/>
        <v>70</v>
      </c>
      <c r="H5" s="2">
        <f t="shared" si="1"/>
        <v>65</v>
      </c>
      <c r="I5" s="2">
        <f t="shared" si="1"/>
        <v>44</v>
      </c>
      <c r="J5" s="2">
        <f t="shared" si="1"/>
        <v>26.5</v>
      </c>
      <c r="K5" s="2">
        <f t="shared" si="1"/>
        <v>61</v>
      </c>
      <c r="L5" s="2">
        <f t="shared" si="1"/>
        <v>161</v>
      </c>
      <c r="N5" s="1">
        <v>0.00508</v>
      </c>
      <c r="O5" s="1" t="s">
        <v>12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idden="1">
      <c r="A8" s="1" t="s">
        <v>2</v>
      </c>
      <c r="B8" s="3">
        <v>680.0</v>
      </c>
      <c r="C8" s="3">
        <v>80.0</v>
      </c>
      <c r="D8" s="3">
        <v>50.0</v>
      </c>
      <c r="E8" s="3">
        <v>50.0</v>
      </c>
      <c r="F8" s="3">
        <v>106.0</v>
      </c>
      <c r="G8" s="3">
        <v>50.0</v>
      </c>
      <c r="H8" s="3">
        <v>47.0</v>
      </c>
      <c r="I8" s="3">
        <v>20.0</v>
      </c>
      <c r="J8" s="3">
        <v>60.0</v>
      </c>
      <c r="K8" s="3">
        <v>10.0</v>
      </c>
      <c r="L8" s="3">
        <v>57.0</v>
      </c>
    </row>
    <row r="9" hidden="1">
      <c r="B9" s="3">
        <v>780.0</v>
      </c>
      <c r="C9" s="3">
        <v>82.0</v>
      </c>
      <c r="D9" s="3">
        <v>57.0</v>
      </c>
      <c r="E9" s="3">
        <v>56.0</v>
      </c>
      <c r="F9" s="3">
        <v>128.0</v>
      </c>
      <c r="G9" s="3">
        <v>30.0</v>
      </c>
      <c r="H9" s="3">
        <v>65.0</v>
      </c>
      <c r="I9" s="3">
        <v>30.0</v>
      </c>
      <c r="J9" s="3">
        <v>26.0</v>
      </c>
      <c r="K9" s="3">
        <v>90.0</v>
      </c>
      <c r="L9" s="3">
        <v>47.0</v>
      </c>
    </row>
    <row r="10">
      <c r="A10" s="1" t="s">
        <v>2</v>
      </c>
      <c r="B10" s="2">
        <f t="shared" ref="B10:L10" si="2">average(B8:B9)</f>
        <v>730</v>
      </c>
      <c r="C10" s="2">
        <f t="shared" si="2"/>
        <v>81</v>
      </c>
      <c r="D10" s="2">
        <f t="shared" si="2"/>
        <v>53.5</v>
      </c>
      <c r="E10" s="2">
        <f t="shared" si="2"/>
        <v>53</v>
      </c>
      <c r="F10" s="2">
        <f t="shared" si="2"/>
        <v>117</v>
      </c>
      <c r="G10" s="2">
        <f t="shared" si="2"/>
        <v>40</v>
      </c>
      <c r="H10" s="2">
        <f t="shared" si="2"/>
        <v>56</v>
      </c>
      <c r="I10" s="2">
        <f t="shared" si="2"/>
        <v>25</v>
      </c>
      <c r="J10" s="2">
        <f t="shared" si="2"/>
        <v>43</v>
      </c>
      <c r="K10" s="2">
        <f t="shared" si="2"/>
        <v>50</v>
      </c>
      <c r="L10" s="2">
        <f t="shared" si="2"/>
        <v>52</v>
      </c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idden="1">
      <c r="A13" s="1" t="s">
        <v>3</v>
      </c>
      <c r="B13" s="3">
        <v>100.0</v>
      </c>
      <c r="C13" s="3">
        <v>950.0</v>
      </c>
      <c r="D13" s="3">
        <v>970.0</v>
      </c>
      <c r="E13" s="3">
        <v>390.0</v>
      </c>
      <c r="F13" s="3">
        <v>124.0</v>
      </c>
      <c r="G13" s="3">
        <v>36.0</v>
      </c>
      <c r="H13" s="3">
        <v>11.0</v>
      </c>
      <c r="I13" s="3">
        <v>35.0</v>
      </c>
      <c r="J13" s="3">
        <v>152.0</v>
      </c>
      <c r="K13" s="3">
        <v>275.0</v>
      </c>
      <c r="L13" s="3">
        <v>365.0</v>
      </c>
    </row>
    <row r="14" hidden="1">
      <c r="B14" s="3">
        <v>168.0</v>
      </c>
      <c r="C14" s="3">
        <v>1186.0</v>
      </c>
      <c r="D14" s="3">
        <v>1021.0</v>
      </c>
      <c r="E14" s="3">
        <v>401.0</v>
      </c>
      <c r="F14" s="3">
        <v>148.0</v>
      </c>
      <c r="G14" s="3">
        <v>50.0</v>
      </c>
      <c r="H14" s="3">
        <v>13.0</v>
      </c>
      <c r="I14" s="3">
        <v>32.0</v>
      </c>
      <c r="J14" s="3">
        <v>139.0</v>
      </c>
      <c r="K14" s="3">
        <v>277.0</v>
      </c>
      <c r="L14" s="3">
        <v>341.0</v>
      </c>
    </row>
    <row r="15">
      <c r="A15" s="1" t="s">
        <v>3</v>
      </c>
      <c r="B15" s="2">
        <f t="shared" ref="B15:L15" si="3">average(B13:B14)</f>
        <v>134</v>
      </c>
      <c r="C15" s="2">
        <f t="shared" si="3"/>
        <v>1068</v>
      </c>
      <c r="D15" s="2">
        <f t="shared" si="3"/>
        <v>995.5</v>
      </c>
      <c r="E15" s="2">
        <f t="shared" si="3"/>
        <v>395.5</v>
      </c>
      <c r="F15" s="2">
        <f t="shared" si="3"/>
        <v>136</v>
      </c>
      <c r="G15" s="2">
        <f t="shared" si="3"/>
        <v>43</v>
      </c>
      <c r="H15" s="2">
        <f t="shared" si="3"/>
        <v>12</v>
      </c>
      <c r="I15" s="2">
        <f t="shared" si="3"/>
        <v>33.5</v>
      </c>
      <c r="J15" s="2">
        <f t="shared" si="3"/>
        <v>145.5</v>
      </c>
      <c r="K15" s="2">
        <f t="shared" si="3"/>
        <v>276</v>
      </c>
      <c r="L15" s="2">
        <f t="shared" si="3"/>
        <v>353</v>
      </c>
    </row>
    <row r="17">
      <c r="D17" s="1" t="s">
        <v>13</v>
      </c>
    </row>
    <row r="19">
      <c r="A19" s="4" t="s">
        <v>1</v>
      </c>
      <c r="B19" s="5">
        <f t="shared" ref="B19:L19" si="4">B5*$N$5</f>
        <v>0.5334</v>
      </c>
      <c r="C19" s="5">
        <f t="shared" si="4"/>
        <v>4.0132</v>
      </c>
      <c r="D19" s="5">
        <f t="shared" si="4"/>
        <v>3.429</v>
      </c>
      <c r="E19" s="5">
        <f t="shared" si="4"/>
        <v>2.44348</v>
      </c>
      <c r="F19" s="5">
        <f t="shared" si="4"/>
        <v>0.24638</v>
      </c>
      <c r="G19" s="5">
        <f t="shared" si="4"/>
        <v>0.3556</v>
      </c>
      <c r="H19" s="5">
        <f t="shared" si="4"/>
        <v>0.3302</v>
      </c>
      <c r="I19" s="5">
        <f t="shared" si="4"/>
        <v>0.22352</v>
      </c>
      <c r="J19" s="5">
        <f t="shared" si="4"/>
        <v>0.13462</v>
      </c>
      <c r="K19" s="5">
        <f t="shared" si="4"/>
        <v>0.30988</v>
      </c>
      <c r="L19" s="5">
        <f t="shared" si="4"/>
        <v>0.81788</v>
      </c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4" t="s">
        <v>2</v>
      </c>
      <c r="B22" s="5">
        <f t="shared" ref="B22:L22" si="5">B10*$N$5</f>
        <v>3.7084</v>
      </c>
      <c r="C22" s="5">
        <f t="shared" si="5"/>
        <v>0.41148</v>
      </c>
      <c r="D22" s="5">
        <f t="shared" si="5"/>
        <v>0.27178</v>
      </c>
      <c r="E22" s="5">
        <f t="shared" si="5"/>
        <v>0.26924</v>
      </c>
      <c r="F22" s="5">
        <f t="shared" si="5"/>
        <v>0.59436</v>
      </c>
      <c r="G22" s="5">
        <f t="shared" si="5"/>
        <v>0.2032</v>
      </c>
      <c r="H22" s="5">
        <f t="shared" si="5"/>
        <v>0.28448</v>
      </c>
      <c r="I22" s="5">
        <f t="shared" si="5"/>
        <v>0.127</v>
      </c>
      <c r="J22" s="5">
        <f t="shared" si="5"/>
        <v>0.21844</v>
      </c>
      <c r="K22" s="5">
        <f t="shared" si="5"/>
        <v>0.254</v>
      </c>
      <c r="L22" s="5">
        <f t="shared" si="5"/>
        <v>0.26416</v>
      </c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>
      <c r="A25" s="1" t="s">
        <v>3</v>
      </c>
      <c r="B25" s="5">
        <f t="shared" ref="B25:L25" si="6">B15*$N$5</f>
        <v>0.68072</v>
      </c>
      <c r="C25" s="5">
        <f t="shared" si="6"/>
        <v>5.42544</v>
      </c>
      <c r="D25" s="5">
        <f t="shared" si="6"/>
        <v>5.05714</v>
      </c>
      <c r="E25" s="5">
        <f t="shared" si="6"/>
        <v>2.00914</v>
      </c>
      <c r="F25" s="5">
        <f t="shared" si="6"/>
        <v>0.69088</v>
      </c>
      <c r="G25" s="5">
        <f t="shared" si="6"/>
        <v>0.21844</v>
      </c>
      <c r="H25" s="5">
        <f t="shared" si="6"/>
        <v>0.06096</v>
      </c>
      <c r="I25" s="5">
        <f t="shared" si="6"/>
        <v>0.17018</v>
      </c>
      <c r="J25" s="5">
        <f t="shared" si="6"/>
        <v>0.73914</v>
      </c>
      <c r="K25" s="5">
        <f t="shared" si="6"/>
        <v>1.40208</v>
      </c>
      <c r="L25" s="5">
        <f t="shared" si="6"/>
        <v>1.79324</v>
      </c>
    </row>
    <row r="28">
      <c r="D28" s="6">
        <f>average(B19:L19,B22:L22,B25:L25)</f>
        <v>1.142153333</v>
      </c>
    </row>
    <row r="32">
      <c r="A32" s="1" t="s">
        <v>4</v>
      </c>
    </row>
    <row r="33" hidden="1">
      <c r="A33" s="1" t="s">
        <v>1</v>
      </c>
      <c r="B33" s="1">
        <v>613.0</v>
      </c>
      <c r="C33" s="1">
        <v>668.0</v>
      </c>
      <c r="D33" s="1">
        <v>727.0</v>
      </c>
      <c r="E33" s="1">
        <v>558.0</v>
      </c>
      <c r="F33" s="1">
        <v>210.0</v>
      </c>
      <c r="G33" s="1">
        <v>33.0</v>
      </c>
      <c r="H33" s="1">
        <v>57.0</v>
      </c>
      <c r="I33" s="1">
        <v>47.0</v>
      </c>
      <c r="J33" s="1">
        <v>19.0</v>
      </c>
      <c r="K33" s="1">
        <v>76.0</v>
      </c>
      <c r="L33" s="1">
        <v>44.0</v>
      </c>
    </row>
    <row r="34" hidden="1">
      <c r="B34" s="1">
        <v>541.0</v>
      </c>
      <c r="C34" s="1">
        <v>617.0</v>
      </c>
      <c r="D34" s="1">
        <v>667.0</v>
      </c>
      <c r="E34" s="1">
        <v>507.0</v>
      </c>
      <c r="F34" s="1">
        <v>141.0</v>
      </c>
      <c r="G34" s="1">
        <v>33.0</v>
      </c>
      <c r="H34" s="1">
        <v>49.0</v>
      </c>
      <c r="I34" s="1">
        <v>30.5</v>
      </c>
      <c r="J34" s="1">
        <v>17.0</v>
      </c>
      <c r="K34" s="1">
        <v>72.0</v>
      </c>
      <c r="L34" s="1">
        <v>43.0</v>
      </c>
    </row>
    <row r="35">
      <c r="A35" s="1" t="s">
        <v>1</v>
      </c>
      <c r="B35" s="7">
        <f t="shared" ref="B35:L35" si="7">average(B33:B34)</f>
        <v>577</v>
      </c>
      <c r="C35" s="7">
        <f t="shared" si="7"/>
        <v>642.5</v>
      </c>
      <c r="D35" s="7">
        <f t="shared" si="7"/>
        <v>697</v>
      </c>
      <c r="E35" s="7">
        <f t="shared" si="7"/>
        <v>532.5</v>
      </c>
      <c r="F35" s="7">
        <f t="shared" si="7"/>
        <v>175.5</v>
      </c>
      <c r="G35" s="7">
        <f t="shared" si="7"/>
        <v>33</v>
      </c>
      <c r="H35" s="7">
        <f t="shared" si="7"/>
        <v>53</v>
      </c>
      <c r="I35" s="7">
        <f t="shared" si="7"/>
        <v>38.75</v>
      </c>
      <c r="J35" s="7">
        <f t="shared" si="7"/>
        <v>18</v>
      </c>
      <c r="K35" s="7">
        <f t="shared" si="7"/>
        <v>74</v>
      </c>
      <c r="L35" s="7">
        <f t="shared" si="7"/>
        <v>43.5</v>
      </c>
      <c r="N35" s="1" t="s">
        <v>14</v>
      </c>
    </row>
    <row r="38">
      <c r="A38" s="4" t="s">
        <v>2</v>
      </c>
    </row>
    <row r="41" hidden="1">
      <c r="A41" s="1" t="s">
        <v>3</v>
      </c>
      <c r="B41" s="1">
        <v>483.0</v>
      </c>
      <c r="C41" s="1">
        <v>873.0</v>
      </c>
      <c r="D41" s="1">
        <v>71.0</v>
      </c>
      <c r="E41" s="1">
        <v>9.0</v>
      </c>
      <c r="F41" s="1">
        <v>5.0</v>
      </c>
      <c r="G41" s="1">
        <v>32.0</v>
      </c>
      <c r="H41" s="1">
        <v>11.0</v>
      </c>
      <c r="I41" s="1">
        <v>3.5</v>
      </c>
      <c r="J41" s="1">
        <v>39.0</v>
      </c>
      <c r="K41" s="1">
        <v>151.0</v>
      </c>
      <c r="L41" s="1">
        <v>158.0</v>
      </c>
    </row>
    <row r="42" hidden="1">
      <c r="B42" s="1">
        <v>456.0</v>
      </c>
      <c r="C42" s="1">
        <v>926.0</v>
      </c>
      <c r="D42" s="1">
        <v>67.0</v>
      </c>
      <c r="E42" s="1">
        <v>21.0</v>
      </c>
      <c r="F42" s="1">
        <v>24.0</v>
      </c>
      <c r="G42" s="1">
        <v>35.0</v>
      </c>
      <c r="H42" s="1">
        <v>6.0</v>
      </c>
      <c r="I42" s="1">
        <v>5.0</v>
      </c>
      <c r="J42" s="1">
        <v>31.0</v>
      </c>
      <c r="K42" s="1">
        <v>133.0</v>
      </c>
      <c r="L42" s="1">
        <v>181.0</v>
      </c>
    </row>
    <row r="43">
      <c r="A43" s="1" t="s">
        <v>3</v>
      </c>
      <c r="B43" s="7">
        <f t="shared" ref="B43:L43" si="8">average(B41:B42)</f>
        <v>469.5</v>
      </c>
      <c r="C43" s="7">
        <f t="shared" si="8"/>
        <v>899.5</v>
      </c>
      <c r="D43" s="7">
        <f t="shared" si="8"/>
        <v>69</v>
      </c>
      <c r="E43" s="7">
        <f t="shared" si="8"/>
        <v>15</v>
      </c>
      <c r="F43" s="7">
        <f t="shared" si="8"/>
        <v>14.5</v>
      </c>
      <c r="G43" s="7">
        <f t="shared" si="8"/>
        <v>33.5</v>
      </c>
      <c r="H43" s="7">
        <f t="shared" si="8"/>
        <v>8.5</v>
      </c>
      <c r="I43" s="7">
        <f t="shared" si="8"/>
        <v>4.25</v>
      </c>
      <c r="J43" s="7">
        <f t="shared" si="8"/>
        <v>35</v>
      </c>
      <c r="K43" s="7">
        <f t="shared" si="8"/>
        <v>142</v>
      </c>
      <c r="L43" s="7">
        <f t="shared" si="8"/>
        <v>169.5</v>
      </c>
    </row>
    <row r="46">
      <c r="A46" s="1" t="s">
        <v>4</v>
      </c>
    </row>
    <row r="47">
      <c r="A47" s="1" t="s">
        <v>1</v>
      </c>
      <c r="B47" s="6">
        <f t="shared" ref="B47:L47" si="9">B35*$N$5</f>
        <v>2.93116</v>
      </c>
      <c r="C47" s="6">
        <f t="shared" si="9"/>
        <v>3.2639</v>
      </c>
      <c r="D47" s="6">
        <f t="shared" si="9"/>
        <v>3.54076</v>
      </c>
      <c r="E47" s="6">
        <f t="shared" si="9"/>
        <v>2.7051</v>
      </c>
      <c r="F47" s="6">
        <f t="shared" si="9"/>
        <v>0.89154</v>
      </c>
      <c r="G47" s="6">
        <f t="shared" si="9"/>
        <v>0.16764</v>
      </c>
      <c r="H47" s="6">
        <f t="shared" si="9"/>
        <v>0.26924</v>
      </c>
      <c r="I47" s="6">
        <f t="shared" si="9"/>
        <v>0.19685</v>
      </c>
      <c r="J47" s="6">
        <f t="shared" si="9"/>
        <v>0.09144</v>
      </c>
      <c r="K47" s="6">
        <f t="shared" si="9"/>
        <v>0.37592</v>
      </c>
      <c r="L47" s="6">
        <f t="shared" si="9"/>
        <v>0.22098</v>
      </c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4" t="s">
        <v>2</v>
      </c>
      <c r="B50" s="8" t="s">
        <v>15</v>
      </c>
      <c r="C50" s="8" t="s">
        <v>15</v>
      </c>
      <c r="D50" s="8" t="s">
        <v>15</v>
      </c>
      <c r="E50" s="8" t="s">
        <v>15</v>
      </c>
      <c r="F50" s="8" t="s">
        <v>15</v>
      </c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8" t="s">
        <v>15</v>
      </c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>
      <c r="A53" s="1" t="s">
        <v>3</v>
      </c>
      <c r="B53" s="6">
        <f t="shared" ref="B53:L53" si="10">B43*$N$5</f>
        <v>2.38506</v>
      </c>
      <c r="C53" s="6">
        <f t="shared" si="10"/>
        <v>4.56946</v>
      </c>
      <c r="D53" s="6">
        <f t="shared" si="10"/>
        <v>0.35052</v>
      </c>
      <c r="E53" s="6">
        <f t="shared" si="10"/>
        <v>0.0762</v>
      </c>
      <c r="F53" s="6">
        <f t="shared" si="10"/>
        <v>0.07366</v>
      </c>
      <c r="G53" s="6">
        <f t="shared" si="10"/>
        <v>0.17018</v>
      </c>
      <c r="H53" s="6">
        <f t="shared" si="10"/>
        <v>0.04318</v>
      </c>
      <c r="I53" s="6">
        <f t="shared" si="10"/>
        <v>0.02159</v>
      </c>
      <c r="J53" s="6">
        <f t="shared" si="10"/>
        <v>0.1778</v>
      </c>
      <c r="K53" s="6">
        <f t="shared" si="10"/>
        <v>0.72136</v>
      </c>
      <c r="L53" s="6">
        <f t="shared" si="10"/>
        <v>0.86106</v>
      </c>
    </row>
    <row r="57">
      <c r="C57" s="6">
        <f>average(B47:L47,B53:L53)</f>
        <v>1.095663636</v>
      </c>
    </row>
    <row r="63">
      <c r="A63" s="1" t="s">
        <v>5</v>
      </c>
      <c r="B63" s="1">
        <v>445.0</v>
      </c>
      <c r="C63" s="1">
        <v>35.0</v>
      </c>
      <c r="D63" s="1">
        <v>34.0</v>
      </c>
      <c r="E63" s="1">
        <v>1.0</v>
      </c>
    </row>
    <row r="65">
      <c r="A65" s="1" t="s">
        <v>6</v>
      </c>
      <c r="B65" s="1" t="s">
        <v>7</v>
      </c>
      <c r="C65" s="1" t="s">
        <v>8</v>
      </c>
    </row>
    <row r="66">
      <c r="A66" s="1" t="s">
        <v>9</v>
      </c>
      <c r="B66" s="1">
        <v>0.05</v>
      </c>
      <c r="C66" s="1">
        <v>-0.16</v>
      </c>
    </row>
  </sheetData>
  <conditionalFormatting sqref="B5:L15">
    <cfRule type="colorScale" priority="1">
      <colorScale>
        <cfvo type="percentile" val="0"/>
        <cfvo type="percentile" val="40"/>
        <cfvo type="percentile" val="80"/>
        <color rgb="FFE06666"/>
        <color rgb="FFF9CB9C"/>
        <color rgb="FF57BB8A"/>
      </colorScale>
    </cfRule>
  </conditionalFormatting>
  <conditionalFormatting sqref="B19:L25">
    <cfRule type="colorScale" priority="2">
      <colorScale>
        <cfvo type="percentile" val="0"/>
        <cfvo type="percentile" val="40"/>
        <cfvo type="percentile" val="80"/>
        <color rgb="FFE06666"/>
        <color rgb="FFF9CB9C"/>
        <color rgb="FF57BB8A"/>
      </colorScale>
    </cfRule>
  </conditionalFormatting>
  <conditionalFormatting sqref="B35:L35">
    <cfRule type="cellIs" dxfId="0" priority="3" operator="lessThan">
      <formula>B5</formula>
    </cfRule>
  </conditionalFormatting>
  <conditionalFormatting sqref="B43:L43">
    <cfRule type="cellIs" dxfId="0" priority="4" operator="lessThan">
      <formula>B15</formula>
    </cfRule>
  </conditionalFormatting>
  <conditionalFormatting sqref="B47:L53">
    <cfRule type="colorScale" priority="5">
      <colorScale>
        <cfvo type="min"/>
        <cfvo type="percentile" val="40"/>
        <cfvo type="percentile" val="80"/>
        <color rgb="FFEA9999"/>
        <color rgb="FFF9CB9C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10</v>
      </c>
    </row>
    <row r="2">
      <c r="N2" s="1" t="s">
        <v>11</v>
      </c>
    </row>
    <row r="3" hidden="1">
      <c r="A3" s="1" t="s">
        <v>1</v>
      </c>
      <c r="B3" s="1">
        <v>100.0</v>
      </c>
      <c r="C3" s="1">
        <v>845.0</v>
      </c>
      <c r="D3" s="1">
        <v>710.0</v>
      </c>
      <c r="E3" s="1">
        <v>492.0</v>
      </c>
      <c r="F3" s="1">
        <v>52.0</v>
      </c>
      <c r="G3" s="1">
        <v>70.0</v>
      </c>
      <c r="H3" s="1">
        <v>80.0</v>
      </c>
      <c r="I3" s="1">
        <v>55.0</v>
      </c>
      <c r="J3" s="1">
        <v>20.0</v>
      </c>
      <c r="K3" s="1">
        <v>62.0</v>
      </c>
      <c r="L3" s="1">
        <v>160.0</v>
      </c>
    </row>
    <row r="4" hidden="1">
      <c r="B4" s="1">
        <v>110.0</v>
      </c>
      <c r="C4" s="1">
        <v>735.0</v>
      </c>
      <c r="D4" s="1">
        <v>640.0</v>
      </c>
      <c r="E4" s="1">
        <v>470.0</v>
      </c>
      <c r="F4" s="1">
        <v>45.0</v>
      </c>
      <c r="G4" s="1">
        <v>70.0</v>
      </c>
      <c r="H4" s="1">
        <v>50.0</v>
      </c>
      <c r="I4" s="1">
        <v>33.0</v>
      </c>
      <c r="J4" s="1">
        <v>33.0</v>
      </c>
      <c r="K4" s="1">
        <v>60.0</v>
      </c>
      <c r="L4" s="1">
        <v>162.0</v>
      </c>
    </row>
    <row r="5" hidden="1">
      <c r="A5" s="1" t="s">
        <v>1</v>
      </c>
      <c r="B5" s="2">
        <f t="shared" ref="B5:L5" si="1">average(B3:B4)</f>
        <v>105</v>
      </c>
      <c r="C5" s="2">
        <f t="shared" si="1"/>
        <v>790</v>
      </c>
      <c r="D5" s="2">
        <f t="shared" si="1"/>
        <v>675</v>
      </c>
      <c r="E5" s="2">
        <f t="shared" si="1"/>
        <v>481</v>
      </c>
      <c r="F5" s="2">
        <f t="shared" si="1"/>
        <v>48.5</v>
      </c>
      <c r="G5" s="2">
        <f t="shared" si="1"/>
        <v>70</v>
      </c>
      <c r="H5" s="2">
        <f t="shared" si="1"/>
        <v>65</v>
      </c>
      <c r="I5" s="2">
        <f t="shared" si="1"/>
        <v>44</v>
      </c>
      <c r="J5" s="2">
        <f t="shared" si="1"/>
        <v>26.5</v>
      </c>
      <c r="K5" s="2">
        <f t="shared" si="1"/>
        <v>61</v>
      </c>
      <c r="L5" s="2">
        <f t="shared" si="1"/>
        <v>161</v>
      </c>
      <c r="N5" s="1">
        <v>0.00508</v>
      </c>
      <c r="O5" s="1" t="s">
        <v>12</v>
      </c>
    </row>
    <row r="6" hidden="1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idden="1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idden="1">
      <c r="A8" s="1" t="s">
        <v>2</v>
      </c>
      <c r="B8" s="3">
        <v>680.0</v>
      </c>
      <c r="C8" s="3">
        <v>80.0</v>
      </c>
      <c r="D8" s="3">
        <v>50.0</v>
      </c>
      <c r="E8" s="3">
        <v>50.0</v>
      </c>
      <c r="F8" s="3">
        <v>106.0</v>
      </c>
      <c r="G8" s="3">
        <v>50.0</v>
      </c>
      <c r="H8" s="3">
        <v>47.0</v>
      </c>
      <c r="I8" s="3">
        <v>20.0</v>
      </c>
      <c r="J8" s="3">
        <v>60.0</v>
      </c>
      <c r="K8" s="3">
        <v>10.0</v>
      </c>
      <c r="L8" s="3">
        <v>57.0</v>
      </c>
    </row>
    <row r="9" hidden="1">
      <c r="B9" s="3">
        <v>780.0</v>
      </c>
      <c r="C9" s="3">
        <v>82.0</v>
      </c>
      <c r="D9" s="3">
        <v>57.0</v>
      </c>
      <c r="E9" s="3">
        <v>56.0</v>
      </c>
      <c r="F9" s="3">
        <v>128.0</v>
      </c>
      <c r="G9" s="3">
        <v>30.0</v>
      </c>
      <c r="H9" s="3">
        <v>65.0</v>
      </c>
      <c r="I9" s="3">
        <v>30.0</v>
      </c>
      <c r="J9" s="3">
        <v>26.0</v>
      </c>
      <c r="K9" s="3">
        <v>90.0</v>
      </c>
      <c r="L9" s="3">
        <v>47.0</v>
      </c>
    </row>
    <row r="10" hidden="1">
      <c r="A10" s="1" t="s">
        <v>2</v>
      </c>
      <c r="B10" s="2">
        <f t="shared" ref="B10:L10" si="2">average(B8:B9)</f>
        <v>730</v>
      </c>
      <c r="C10" s="2">
        <f t="shared" si="2"/>
        <v>81</v>
      </c>
      <c r="D10" s="2">
        <f t="shared" si="2"/>
        <v>53.5</v>
      </c>
      <c r="E10" s="2">
        <f t="shared" si="2"/>
        <v>53</v>
      </c>
      <c r="F10" s="2">
        <f t="shared" si="2"/>
        <v>117</v>
      </c>
      <c r="G10" s="2">
        <f t="shared" si="2"/>
        <v>40</v>
      </c>
      <c r="H10" s="2">
        <f t="shared" si="2"/>
        <v>56</v>
      </c>
      <c r="I10" s="2">
        <f t="shared" si="2"/>
        <v>25</v>
      </c>
      <c r="J10" s="2">
        <f t="shared" si="2"/>
        <v>43</v>
      </c>
      <c r="K10" s="2">
        <f t="shared" si="2"/>
        <v>50</v>
      </c>
      <c r="L10" s="2">
        <f t="shared" si="2"/>
        <v>52</v>
      </c>
    </row>
    <row r="11" hidden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idden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idden="1">
      <c r="A13" s="1" t="s">
        <v>3</v>
      </c>
      <c r="B13" s="3">
        <v>100.0</v>
      </c>
      <c r="C13" s="3">
        <v>950.0</v>
      </c>
      <c r="D13" s="3">
        <v>970.0</v>
      </c>
      <c r="E13" s="3">
        <v>390.0</v>
      </c>
      <c r="F13" s="3">
        <v>124.0</v>
      </c>
      <c r="G13" s="3">
        <v>36.0</v>
      </c>
      <c r="H13" s="3">
        <v>11.0</v>
      </c>
      <c r="I13" s="3">
        <v>35.0</v>
      </c>
      <c r="J13" s="3">
        <v>152.0</v>
      </c>
      <c r="K13" s="3">
        <v>275.0</v>
      </c>
      <c r="L13" s="3">
        <v>365.0</v>
      </c>
    </row>
    <row r="14" hidden="1">
      <c r="B14" s="3">
        <v>168.0</v>
      </c>
      <c r="C14" s="3">
        <v>1186.0</v>
      </c>
      <c r="D14" s="3">
        <v>1021.0</v>
      </c>
      <c r="E14" s="3">
        <v>401.0</v>
      </c>
      <c r="F14" s="3">
        <v>148.0</v>
      </c>
      <c r="G14" s="3">
        <v>50.0</v>
      </c>
      <c r="H14" s="3">
        <v>13.0</v>
      </c>
      <c r="I14" s="3">
        <v>32.0</v>
      </c>
      <c r="J14" s="3">
        <v>139.0</v>
      </c>
      <c r="K14" s="3">
        <v>277.0</v>
      </c>
      <c r="L14" s="3">
        <v>341.0</v>
      </c>
    </row>
    <row r="15" hidden="1">
      <c r="A15" s="1" t="s">
        <v>3</v>
      </c>
      <c r="B15" s="2">
        <f t="shared" ref="B15:L15" si="3">average(B13:B14)</f>
        <v>134</v>
      </c>
      <c r="C15" s="2">
        <f t="shared" si="3"/>
        <v>1068</v>
      </c>
      <c r="D15" s="2">
        <f t="shared" si="3"/>
        <v>995.5</v>
      </c>
      <c r="E15" s="2">
        <f t="shared" si="3"/>
        <v>395.5</v>
      </c>
      <c r="F15" s="2">
        <f t="shared" si="3"/>
        <v>136</v>
      </c>
      <c r="G15" s="2">
        <f t="shared" si="3"/>
        <v>43</v>
      </c>
      <c r="H15" s="2">
        <f t="shared" si="3"/>
        <v>12</v>
      </c>
      <c r="I15" s="2">
        <f t="shared" si="3"/>
        <v>33.5</v>
      </c>
      <c r="J15" s="2">
        <f t="shared" si="3"/>
        <v>145.5</v>
      </c>
      <c r="K15" s="2">
        <f t="shared" si="3"/>
        <v>276</v>
      </c>
      <c r="L15" s="2">
        <f t="shared" si="3"/>
        <v>353</v>
      </c>
    </row>
    <row r="17">
      <c r="D17" s="1" t="s">
        <v>13</v>
      </c>
    </row>
    <row r="19" ht="69.75" customHeight="1">
      <c r="A19" s="4" t="s">
        <v>1</v>
      </c>
      <c r="B19" s="9">
        <f t="shared" ref="B19:L19" si="4">B5*$N$5</f>
        <v>0.5334</v>
      </c>
      <c r="C19" s="9">
        <f t="shared" si="4"/>
        <v>4.0132</v>
      </c>
      <c r="D19" s="9">
        <f t="shared" si="4"/>
        <v>3.429</v>
      </c>
      <c r="E19" s="9">
        <f t="shared" si="4"/>
        <v>2.44348</v>
      </c>
      <c r="F19" s="9">
        <f t="shared" si="4"/>
        <v>0.24638</v>
      </c>
      <c r="G19" s="9">
        <f t="shared" si="4"/>
        <v>0.3556</v>
      </c>
      <c r="H19" s="9">
        <f t="shared" si="4"/>
        <v>0.3302</v>
      </c>
      <c r="I19" s="9">
        <f t="shared" si="4"/>
        <v>0.22352</v>
      </c>
      <c r="J19" s="9">
        <f t="shared" si="4"/>
        <v>0.13462</v>
      </c>
      <c r="K19" s="9">
        <f t="shared" si="4"/>
        <v>0.30988</v>
      </c>
      <c r="L19" s="9">
        <f t="shared" si="4"/>
        <v>0.81788</v>
      </c>
    </row>
    <row r="20" hidden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idden="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19.25" customHeight="1">
      <c r="A22" s="4" t="s">
        <v>2</v>
      </c>
      <c r="B22" s="9">
        <f t="shared" ref="B22:L22" si="5">B10*$N$5</f>
        <v>3.7084</v>
      </c>
      <c r="C22" s="9">
        <f t="shared" si="5"/>
        <v>0.41148</v>
      </c>
      <c r="D22" s="9">
        <f t="shared" si="5"/>
        <v>0.27178</v>
      </c>
      <c r="E22" s="9">
        <f t="shared" si="5"/>
        <v>0.26924</v>
      </c>
      <c r="F22" s="9">
        <f t="shared" si="5"/>
        <v>0.59436</v>
      </c>
      <c r="G22" s="9">
        <f t="shared" si="5"/>
        <v>0.2032</v>
      </c>
      <c r="H22" s="9">
        <f t="shared" si="5"/>
        <v>0.28448</v>
      </c>
      <c r="I22" s="9">
        <f t="shared" si="5"/>
        <v>0.127</v>
      </c>
      <c r="J22" s="9">
        <f t="shared" si="5"/>
        <v>0.21844</v>
      </c>
      <c r="K22" s="9">
        <f t="shared" si="5"/>
        <v>0.254</v>
      </c>
      <c r="L22" s="9">
        <f t="shared" si="5"/>
        <v>0.26416</v>
      </c>
    </row>
    <row r="23" hidden="1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idden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73.5" customHeight="1">
      <c r="A25" s="1" t="s">
        <v>3</v>
      </c>
      <c r="B25" s="9">
        <f t="shared" ref="B25:L25" si="6">B15*$N$5</f>
        <v>0.68072</v>
      </c>
      <c r="C25" s="9">
        <f t="shared" si="6"/>
        <v>5.42544</v>
      </c>
      <c r="D25" s="9">
        <f t="shared" si="6"/>
        <v>5.05714</v>
      </c>
      <c r="E25" s="9">
        <f t="shared" si="6"/>
        <v>2.00914</v>
      </c>
      <c r="F25" s="9">
        <f t="shared" si="6"/>
        <v>0.69088</v>
      </c>
      <c r="G25" s="9">
        <f t="shared" si="6"/>
        <v>0.21844</v>
      </c>
      <c r="H25" s="9">
        <f t="shared" si="6"/>
        <v>0.06096</v>
      </c>
      <c r="I25" s="9">
        <f t="shared" si="6"/>
        <v>0.17018</v>
      </c>
      <c r="J25" s="9">
        <f t="shared" si="6"/>
        <v>0.73914</v>
      </c>
      <c r="K25" s="9">
        <f t="shared" si="6"/>
        <v>1.40208</v>
      </c>
      <c r="L25" s="9">
        <f t="shared" si="6"/>
        <v>1.79324</v>
      </c>
    </row>
    <row r="27" ht="30.75" customHeight="1"/>
    <row r="28" hidden="1">
      <c r="D28" s="6">
        <f>average(B19:L19,B22:L22,B25:L25)</f>
        <v>1.142153333</v>
      </c>
    </row>
    <row r="29" hidden="1"/>
    <row r="30" hidden="1"/>
    <row r="31" hidden="1"/>
    <row r="32" hidden="1">
      <c r="A32" s="1" t="s">
        <v>4</v>
      </c>
    </row>
    <row r="33" hidden="1">
      <c r="A33" s="1" t="s">
        <v>1</v>
      </c>
      <c r="B33" s="1">
        <v>613.0</v>
      </c>
      <c r="C33" s="1">
        <v>668.0</v>
      </c>
      <c r="D33" s="1">
        <v>727.0</v>
      </c>
      <c r="E33" s="1">
        <v>558.0</v>
      </c>
      <c r="F33" s="1">
        <v>210.0</v>
      </c>
      <c r="G33" s="1">
        <v>33.0</v>
      </c>
      <c r="H33" s="1">
        <v>57.0</v>
      </c>
      <c r="I33" s="1">
        <v>47.0</v>
      </c>
      <c r="J33" s="1">
        <v>19.0</v>
      </c>
      <c r="K33" s="1">
        <v>76.0</v>
      </c>
      <c r="L33" s="1">
        <v>44.0</v>
      </c>
    </row>
    <row r="34" hidden="1">
      <c r="B34" s="1">
        <v>541.0</v>
      </c>
      <c r="C34" s="1">
        <v>617.0</v>
      </c>
      <c r="D34" s="1">
        <v>667.0</v>
      </c>
      <c r="E34" s="1">
        <v>507.0</v>
      </c>
      <c r="F34" s="1">
        <v>141.0</v>
      </c>
      <c r="G34" s="1">
        <v>33.0</v>
      </c>
      <c r="H34" s="1">
        <v>49.0</v>
      </c>
      <c r="I34" s="1">
        <v>30.5</v>
      </c>
      <c r="J34" s="1">
        <v>17.0</v>
      </c>
      <c r="K34" s="1">
        <v>72.0</v>
      </c>
      <c r="L34" s="1">
        <v>43.0</v>
      </c>
    </row>
    <row r="35" hidden="1">
      <c r="A35" s="1" t="s">
        <v>1</v>
      </c>
      <c r="B35" s="7">
        <f t="shared" ref="B35:L35" si="7">average(B33:B34)</f>
        <v>577</v>
      </c>
      <c r="C35" s="7">
        <f t="shared" si="7"/>
        <v>642.5</v>
      </c>
      <c r="D35" s="7">
        <f t="shared" si="7"/>
        <v>697</v>
      </c>
      <c r="E35" s="7">
        <f t="shared" si="7"/>
        <v>532.5</v>
      </c>
      <c r="F35" s="7">
        <f t="shared" si="7"/>
        <v>175.5</v>
      </c>
      <c r="G35" s="7">
        <f t="shared" si="7"/>
        <v>33</v>
      </c>
      <c r="H35" s="7">
        <f t="shared" si="7"/>
        <v>53</v>
      </c>
      <c r="I35" s="7">
        <f t="shared" si="7"/>
        <v>38.75</v>
      </c>
      <c r="J35" s="7">
        <f t="shared" si="7"/>
        <v>18</v>
      </c>
      <c r="K35" s="7">
        <f t="shared" si="7"/>
        <v>74</v>
      </c>
      <c r="L35" s="7">
        <f t="shared" si="7"/>
        <v>43.5</v>
      </c>
      <c r="N35" s="1" t="s">
        <v>14</v>
      </c>
    </row>
    <row r="36" hidden="1"/>
    <row r="37" hidden="1"/>
    <row r="38" hidden="1">
      <c r="A38" s="4" t="s">
        <v>2</v>
      </c>
    </row>
    <row r="39" hidden="1"/>
    <row r="40" hidden="1"/>
    <row r="41" hidden="1">
      <c r="A41" s="1" t="s">
        <v>3</v>
      </c>
      <c r="B41" s="1">
        <v>483.0</v>
      </c>
      <c r="C41" s="1">
        <v>873.0</v>
      </c>
      <c r="D41" s="1">
        <v>71.0</v>
      </c>
      <c r="E41" s="1">
        <v>9.0</v>
      </c>
      <c r="F41" s="1">
        <v>5.0</v>
      </c>
      <c r="G41" s="1">
        <v>32.0</v>
      </c>
      <c r="H41" s="1">
        <v>11.0</v>
      </c>
      <c r="I41" s="1">
        <v>3.5</v>
      </c>
      <c r="J41" s="1">
        <v>39.0</v>
      </c>
      <c r="K41" s="1">
        <v>151.0</v>
      </c>
      <c r="L41" s="1">
        <v>158.0</v>
      </c>
    </row>
    <row r="42" hidden="1">
      <c r="B42" s="1">
        <v>456.0</v>
      </c>
      <c r="C42" s="1">
        <v>926.0</v>
      </c>
      <c r="D42" s="1">
        <v>67.0</v>
      </c>
      <c r="E42" s="1">
        <v>21.0</v>
      </c>
      <c r="F42" s="1">
        <v>24.0</v>
      </c>
      <c r="G42" s="1">
        <v>35.0</v>
      </c>
      <c r="H42" s="1">
        <v>6.0</v>
      </c>
      <c r="I42" s="1">
        <v>5.0</v>
      </c>
      <c r="J42" s="1">
        <v>31.0</v>
      </c>
      <c r="K42" s="1">
        <v>133.0</v>
      </c>
      <c r="L42" s="1">
        <v>181.0</v>
      </c>
    </row>
    <row r="43" hidden="1">
      <c r="A43" s="1" t="s">
        <v>3</v>
      </c>
      <c r="B43" s="7">
        <f t="shared" ref="B43:L43" si="8">average(B41:B42)</f>
        <v>469.5</v>
      </c>
      <c r="C43" s="7">
        <f t="shared" si="8"/>
        <v>899.5</v>
      </c>
      <c r="D43" s="7">
        <f t="shared" si="8"/>
        <v>69</v>
      </c>
      <c r="E43" s="7">
        <f t="shared" si="8"/>
        <v>15</v>
      </c>
      <c r="F43" s="7">
        <f t="shared" si="8"/>
        <v>14.5</v>
      </c>
      <c r="G43" s="7">
        <f t="shared" si="8"/>
        <v>33.5</v>
      </c>
      <c r="H43" s="7">
        <f t="shared" si="8"/>
        <v>8.5</v>
      </c>
      <c r="I43" s="7">
        <f t="shared" si="8"/>
        <v>4.25</v>
      </c>
      <c r="J43" s="7">
        <f t="shared" si="8"/>
        <v>35</v>
      </c>
      <c r="K43" s="7">
        <f t="shared" si="8"/>
        <v>142</v>
      </c>
      <c r="L43" s="7">
        <f t="shared" si="8"/>
        <v>169.5</v>
      </c>
    </row>
    <row r="44" hidden="1"/>
    <row r="45" hidden="1"/>
    <row r="46" hidden="1">
      <c r="A46" s="1" t="s">
        <v>4</v>
      </c>
    </row>
    <row r="47" hidden="1">
      <c r="A47" s="1" t="s">
        <v>1</v>
      </c>
      <c r="B47" s="6">
        <f t="shared" ref="B47:L47" si="9">B35*$N$5</f>
        <v>2.93116</v>
      </c>
      <c r="C47" s="6">
        <f t="shared" si="9"/>
        <v>3.2639</v>
      </c>
      <c r="D47" s="6">
        <f t="shared" si="9"/>
        <v>3.54076</v>
      </c>
      <c r="E47" s="6">
        <f t="shared" si="9"/>
        <v>2.7051</v>
      </c>
      <c r="F47" s="6">
        <f t="shared" si="9"/>
        <v>0.89154</v>
      </c>
      <c r="G47" s="6">
        <f t="shared" si="9"/>
        <v>0.16764</v>
      </c>
      <c r="H47" s="6">
        <f t="shared" si="9"/>
        <v>0.26924</v>
      </c>
      <c r="I47" s="6">
        <f t="shared" si="9"/>
        <v>0.19685</v>
      </c>
      <c r="J47" s="6">
        <f t="shared" si="9"/>
        <v>0.09144</v>
      </c>
      <c r="K47" s="6">
        <f t="shared" si="9"/>
        <v>0.37592</v>
      </c>
      <c r="L47" s="6">
        <f t="shared" si="9"/>
        <v>0.22098</v>
      </c>
    </row>
    <row r="48" hidden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idden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idden="1">
      <c r="A50" s="4" t="s">
        <v>2</v>
      </c>
      <c r="B50" s="8" t="s">
        <v>15</v>
      </c>
      <c r="C50" s="8" t="s">
        <v>15</v>
      </c>
      <c r="D50" s="8" t="s">
        <v>15</v>
      </c>
      <c r="E50" s="8" t="s">
        <v>15</v>
      </c>
      <c r="F50" s="8" t="s">
        <v>15</v>
      </c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8" t="s">
        <v>15</v>
      </c>
    </row>
    <row r="51" hidden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idden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idden="1">
      <c r="A53" s="1" t="s">
        <v>3</v>
      </c>
      <c r="B53" s="6">
        <f t="shared" ref="B53:L53" si="10">B43*$N$5</f>
        <v>2.38506</v>
      </c>
      <c r="C53" s="6">
        <f t="shared" si="10"/>
        <v>4.56946</v>
      </c>
      <c r="D53" s="6">
        <f t="shared" si="10"/>
        <v>0.35052</v>
      </c>
      <c r="E53" s="6">
        <f t="shared" si="10"/>
        <v>0.0762</v>
      </c>
      <c r="F53" s="6">
        <f t="shared" si="10"/>
        <v>0.07366</v>
      </c>
      <c r="G53" s="6">
        <f t="shared" si="10"/>
        <v>0.17018</v>
      </c>
      <c r="H53" s="6">
        <f t="shared" si="10"/>
        <v>0.04318</v>
      </c>
      <c r="I53" s="6">
        <f t="shared" si="10"/>
        <v>0.02159</v>
      </c>
      <c r="J53" s="6">
        <f t="shared" si="10"/>
        <v>0.1778</v>
      </c>
      <c r="K53" s="6">
        <f t="shared" si="10"/>
        <v>0.72136</v>
      </c>
      <c r="L53" s="6">
        <f t="shared" si="10"/>
        <v>0.86106</v>
      </c>
    </row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>
      <c r="A63" s="1" t="s">
        <v>5</v>
      </c>
      <c r="B63" s="1">
        <v>445.0</v>
      </c>
      <c r="C63" s="1">
        <v>35.0</v>
      </c>
      <c r="D63" s="1">
        <v>34.0</v>
      </c>
      <c r="E63" s="1">
        <v>1.0</v>
      </c>
    </row>
    <row r="64" hidden="1"/>
    <row r="65" hidden="1">
      <c r="A65" s="1" t="s">
        <v>6</v>
      </c>
      <c r="B65" s="1" t="s">
        <v>7</v>
      </c>
      <c r="C65" s="1" t="s">
        <v>8</v>
      </c>
    </row>
    <row r="66" hidden="1">
      <c r="A66" s="1" t="s">
        <v>9</v>
      </c>
      <c r="B66" s="1">
        <v>0.05</v>
      </c>
      <c r="C66" s="1">
        <v>-0.16</v>
      </c>
    </row>
  </sheetData>
  <conditionalFormatting sqref="B5:L15">
    <cfRule type="colorScale" priority="1">
      <colorScale>
        <cfvo type="percentile" val="0"/>
        <cfvo type="percentile" val="40"/>
        <cfvo type="percentile" val="80"/>
        <color rgb="FFE06666"/>
        <color rgb="FFF9CB9C"/>
        <color rgb="FF57BB8A"/>
      </colorScale>
    </cfRule>
  </conditionalFormatting>
  <conditionalFormatting sqref="B19:L25">
    <cfRule type="colorScale" priority="2">
      <colorScale>
        <cfvo type="percentile" val="0"/>
        <cfvo type="percentile" val="40"/>
        <cfvo type="percentile" val="80"/>
        <color rgb="FFE06666"/>
        <color rgb="FFF9CB9C"/>
        <color rgb="FF57BB8A"/>
      </colorScale>
    </cfRule>
  </conditionalFormatting>
  <conditionalFormatting sqref="B35:L35">
    <cfRule type="cellIs" dxfId="0" priority="3" operator="lessThan">
      <formula>B5</formula>
    </cfRule>
  </conditionalFormatting>
  <conditionalFormatting sqref="B43:L43">
    <cfRule type="cellIs" dxfId="0" priority="4" operator="lessThan">
      <formula>B15</formula>
    </cfRule>
  </conditionalFormatting>
  <conditionalFormatting sqref="B47:L53">
    <cfRule type="colorScale" priority="5">
      <colorScale>
        <cfvo type="min"/>
        <cfvo type="percentile" val="40"/>
        <cfvo type="percentile" val="80"/>
        <color rgb="FFEA9999"/>
        <color rgb="FFF9CB9C"/>
        <color rgb="FF57BB8A"/>
      </colorScale>
    </cfRule>
  </conditionalFormatting>
  <drawing r:id="rId1"/>
</worksheet>
</file>